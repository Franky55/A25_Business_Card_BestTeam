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defaultThemeVersion="166925"/>
  <mc:AlternateContent xmlns:mc="http://schemas.openxmlformats.org/markup-compatibility/2006">
    <mc:Choice Requires="x15">
      <x15ac:absPath xmlns:x15ac="http://schemas.microsoft.com/office/spreadsheetml/2010/11/ac" url="https://usherbrooke.sharepoint.com/sites/CCIadministration/Documents partages/General/6. Compétition/A24/"/>
    </mc:Choice>
  </mc:AlternateContent>
  <xr:revisionPtr revIDLastSave="272" documentId="8_{AC73F5B6-26E2-40A4-ACD0-57BA4263627E}" xr6:coauthVersionLast="47" xr6:coauthVersionMax="47" xr10:uidLastSave="{0DDE57E3-828A-49BD-9A43-7B6F41A8E515}"/>
  <bookViews>
    <workbookView xWindow="28680" yWindow="-120" windowWidth="29040" windowHeight="15840" activeTab="2" xr2:uid="{C07F5AFE-8D21-4FB4-8FEF-3C34EA3B4AA9}"/>
  </bookViews>
  <sheets>
    <sheet name="Catégories et points" sheetId="1" r:id="rId1"/>
    <sheet name="Prix et catégories" sheetId="2" r:id="rId2"/>
    <sheet name="Grille d'évaluation" sheetId="4" r:id="rId3"/>
    <sheet name="Exemple d'utilisation grille" sheetId="5"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4" l="1"/>
  <c r="K5" i="5"/>
  <c r="C19" i="4"/>
  <c r="I19" i="4" s="1"/>
  <c r="B19" i="4"/>
  <c r="I18" i="4"/>
  <c r="C18" i="4"/>
  <c r="B18" i="4"/>
  <c r="C17" i="4"/>
  <c r="I17" i="4" s="1"/>
  <c r="B17" i="4"/>
  <c r="C16" i="4"/>
  <c r="I16" i="4" s="1"/>
  <c r="B16" i="4"/>
  <c r="C15" i="4"/>
  <c r="I15" i="4" s="1"/>
  <c r="B15" i="4"/>
  <c r="I14" i="4"/>
  <c r="C14" i="4"/>
  <c r="B14" i="4"/>
  <c r="A14" i="4"/>
  <c r="K13" i="4"/>
  <c r="C13" i="4"/>
  <c r="I13" i="4" s="1"/>
  <c r="B13" i="4"/>
  <c r="C12" i="4"/>
  <c r="I12" i="4" s="1"/>
  <c r="B12" i="4"/>
  <c r="I11" i="4"/>
  <c r="C11" i="4"/>
  <c r="B11" i="4"/>
  <c r="A11" i="4"/>
  <c r="I10" i="4"/>
  <c r="C10" i="4"/>
  <c r="B10" i="4"/>
  <c r="K9" i="4"/>
  <c r="I9" i="4"/>
  <c r="C9" i="4"/>
  <c r="A9" i="4"/>
  <c r="C8" i="4"/>
  <c r="I8" i="4" s="1"/>
  <c r="B8" i="4"/>
  <c r="I7" i="4"/>
  <c r="C7" i="4"/>
  <c r="B7" i="4"/>
  <c r="A7" i="4"/>
  <c r="C6" i="4"/>
  <c r="B6" i="4"/>
  <c r="C5" i="4"/>
  <c r="I5" i="4" s="1"/>
  <c r="B5" i="4"/>
  <c r="A5" i="4"/>
  <c r="C4" i="4"/>
  <c r="I4" i="4" s="1"/>
  <c r="B4" i="4"/>
  <c r="I3" i="4"/>
  <c r="C3" i="4"/>
  <c r="B3" i="4"/>
  <c r="A3" i="4"/>
  <c r="I10" i="5"/>
  <c r="I9" i="5"/>
  <c r="I18" i="5"/>
  <c r="I6" i="5"/>
  <c r="I5" i="5"/>
  <c r="I7" i="5"/>
  <c r="K13" i="5"/>
  <c r="K9" i="5"/>
  <c r="A14" i="5"/>
  <c r="A3" i="5"/>
  <c r="A5" i="5"/>
  <c r="A7" i="5"/>
  <c r="A9" i="5"/>
  <c r="A11" i="5"/>
  <c r="C19" i="5"/>
  <c r="C18" i="5"/>
  <c r="C17" i="5"/>
  <c r="C16" i="5"/>
  <c r="C15" i="5"/>
  <c r="C14" i="5"/>
  <c r="C13" i="5"/>
  <c r="C12" i="5"/>
  <c r="C11" i="5"/>
  <c r="C10" i="5"/>
  <c r="C9" i="5"/>
  <c r="C8" i="5"/>
  <c r="C7" i="5"/>
  <c r="C6" i="5"/>
  <c r="C5" i="5"/>
  <c r="C4" i="5"/>
  <c r="C3" i="5"/>
  <c r="B4" i="5"/>
  <c r="B5" i="5"/>
  <c r="B6" i="5"/>
  <c r="B7" i="5"/>
  <c r="B8" i="5"/>
  <c r="B9" i="5"/>
  <c r="B10" i="5"/>
  <c r="B11" i="5"/>
  <c r="B12" i="5"/>
  <c r="B13" i="5"/>
  <c r="B14" i="5"/>
  <c r="B15" i="5"/>
  <c r="B16" i="5"/>
  <c r="B17" i="5"/>
  <c r="B18" i="5"/>
  <c r="B19" i="5"/>
  <c r="B3" i="5"/>
  <c r="D4" i="2"/>
  <c r="D5" i="2"/>
  <c r="D3" i="2"/>
  <c r="K12" i="4" l="1"/>
  <c r="C20" i="4"/>
  <c r="K5" i="4" s="1"/>
  <c r="I6" i="4"/>
  <c r="I20" i="4" s="1"/>
  <c r="K4" i="4" s="1"/>
  <c r="K8" i="4"/>
  <c r="I3" i="5" l="1"/>
  <c r="I4" i="5"/>
  <c r="I8" i="5"/>
  <c r="I11" i="5"/>
  <c r="I12" i="5"/>
  <c r="I13" i="5"/>
  <c r="I14" i="5"/>
  <c r="I15" i="5"/>
  <c r="I16" i="5"/>
  <c r="I17" i="5"/>
  <c r="I19" i="5"/>
  <c r="C20" i="5"/>
  <c r="C21" i="1"/>
  <c r="K8" i="5" l="1"/>
  <c r="K12" i="5"/>
  <c r="I20" i="5"/>
  <c r="K4" i="5" s="1"/>
</calcChain>
</file>

<file path=xl/sharedStrings.xml><?xml version="1.0" encoding="utf-8"?>
<sst xmlns="http://schemas.openxmlformats.org/spreadsheetml/2006/main" count="179" uniqueCount="139">
  <si>
    <t>Catégorie</t>
  </si>
  <si>
    <t>Points</t>
  </si>
  <si>
    <t xml:space="preserve">Surpasse les attentes </t>
  </si>
  <si>
    <t>Répond aux attentes</t>
  </si>
  <si>
    <t>Répond majoritairement aux attentes</t>
  </si>
  <si>
    <t>Répond partiellement aux attentes</t>
  </si>
  <si>
    <t>Ne répond pas aux attentes</t>
  </si>
  <si>
    <t>Précisions</t>
  </si>
  <si>
    <t>Idée</t>
  </si>
  <si>
    <t>Idée originale, suscite l'humour ou l'inspiration auprès des juges et du public.</t>
  </si>
  <si>
    <t>Idée drôle ou originale.</t>
  </si>
  <si>
    <t>Projet existe déjà, mais a une tournure humoristique ou unique.</t>
  </si>
  <si>
    <t>Répond aux restrictions du projet, mais n'est pas si originale ou intéressante.</t>
  </si>
  <si>
    <t>Idée répétitive, existe déjà ou ne répond pas au thème du projet.</t>
  </si>
  <si>
    <t>Toute l'idée présentée est fonctionnelle.</t>
  </si>
  <si>
    <t xml:space="preserve">La plupart des fonctionnalités de l'idée fonctionne, mis à part quelques détails mineurs. </t>
  </si>
  <si>
    <t>Certaines parties du projet sont fonctionnels individuellement, mais le produit final ne fonctionne pas comme prévu.</t>
  </si>
  <si>
    <t>Le projet n'est pas fonctionnel.</t>
  </si>
  <si>
    <t>Nombre de commandes</t>
  </si>
  <si>
    <t>Conception</t>
  </si>
  <si>
    <t>Un aspect majeur du projet dépend de l'implémentation d'un circuit particulièrement complexe.</t>
  </si>
  <si>
    <t>Certains éléments implémentés ont une complexité moyennement accrue.</t>
  </si>
  <si>
    <t>Un élément mineur implémenté est plus complexe.</t>
  </si>
  <si>
    <t>Circuit de base seulement.</t>
  </si>
  <si>
    <t>Aucune librairie (excepté protocole de communication) utilisée. Le code est complexe et fonctionnel.</t>
  </si>
  <si>
    <t>Un nombre minimal de librairie sont utilisées, et le code est complexe et fonctionnel.</t>
  </si>
  <si>
    <t>Un nombre minimal de librairies sont utilisées, et le code correspond à un aspect important du projet.</t>
  </si>
  <si>
    <t>Le code utilise beaucoup de librairies, mais les implémente de sa propre façon.</t>
  </si>
  <si>
    <t>Le code dépend entièrement de librairies ou de code préfait.</t>
  </si>
  <si>
    <t xml:space="preserve">  </t>
  </si>
  <si>
    <t xml:space="preserve">Présentation charismatique, intéressante ou humoristique de qualité répondant à tous les critères. Tout est fonctionnel et fiable. </t>
  </si>
  <si>
    <t>Présentation qui répond à tous les critères. Tout est fonctionnel et fiable.</t>
  </si>
  <si>
    <t>Projet plus ou moins fonctionnel, mais bonne présentation pour supporter.</t>
  </si>
  <si>
    <t>Le projet n'est pas fonctionnel, mais accompagné d'une présentation OU pas de présentation, mais démonstration vidéo fonctionnelle.</t>
  </si>
  <si>
    <t xml:space="preserve">1. Présentation du projet et des caractéristiques (attentes).                                                                                                        2. Démonstration des caractéristiques (preuve).                             3. Fiabilité </t>
  </si>
  <si>
    <t>Documentation claire, bien formatée et répondant aux attentes.</t>
  </si>
  <si>
    <t>Quelques imperfection dans le contenu, mais répond aux attentes et bien formatée.</t>
  </si>
  <si>
    <t>Certaines parties du contenu manquent de clarté OU contenu complet, mais format inadéquat.</t>
  </si>
  <si>
    <t>Certaines parties de la documentation sont manquantes OU certaines parties de la documentation sont incomplètes et le format inadéquat.</t>
  </si>
  <si>
    <t>Qualité du schéma électrique</t>
  </si>
  <si>
    <t>Claire, précise et conforme aux normes de l'industrie.</t>
  </si>
  <si>
    <t>Certaines normes ne sont pas respectées, mais le schéma est clair et précis.</t>
  </si>
  <si>
    <t>Certaines normes ne sont pas respectées, et/ou le shéma manque de précision (ex. composantes sans valeur)</t>
  </si>
  <si>
    <t>Plusieurs sections du schéma ne respectent pas les normes et manquent de clarté.</t>
  </si>
  <si>
    <t xml:space="preserve">Le schéma ne respecte pas les normes et est difficile à suivre. </t>
  </si>
  <si>
    <t>Qualité du PCB</t>
  </si>
  <si>
    <t>Belles traces, aucune réparation, répartition satisfaisantes des composants.</t>
  </si>
  <si>
    <t>Aucune réparation ET [répartition satisfaisante des composantes] OU [belles traces].</t>
  </si>
  <si>
    <t>Une réparation peu visible ET répartition satisfaisante des composants ET belles traces.</t>
  </si>
  <si>
    <t>[Une réparation peu visible ET répartition satisfaisante des composants OU belles traces] OU [Plusieurs réparations bien camouflées ET répartition satisfaisante des composants ET belles traces ]</t>
  </si>
  <si>
    <t>Une ou plusieurs réparations mal faites.</t>
  </si>
  <si>
    <t>Qualité des soudures</t>
  </si>
  <si>
    <t>Il n'y a pas de boitier et le PCB est exposé (exception si partie intégrante du design).</t>
  </si>
  <si>
    <t>Aspect esthétique externe seulement : le boitier, la couleur, le design, est-ce que ça s'utilise confortablement. Ici, on regarde l'attention aux détails</t>
  </si>
  <si>
    <t>TOTAL</t>
  </si>
  <si>
    <t>Prix</t>
  </si>
  <si>
    <t>Catégories prises en compte</t>
  </si>
  <si>
    <t>Nombre de points</t>
  </si>
  <si>
    <t>Description</t>
  </si>
  <si>
    <t>Prix de conception</t>
  </si>
  <si>
    <t>Toutes</t>
  </si>
  <si>
    <t>C'est le prix principal de la compétition! Tous les critères sont pris en compte pour ce prix, démontrant que l'équipe gagnante tiens à cœur toutes les valeurs de la compétition : L'innovation, l'ingéniosité, l'exploration et la collaboration. L'équipe gagnante doit par ailleurs faire preuve de minutie et d'originalité dans sa conception.</t>
  </si>
  <si>
    <t>Prix du vendeur</t>
  </si>
  <si>
    <t>Avec la bonne attention aux détails et du charisme, même l'idée la plus ennuyante ou patentée peut devenir un best-seller. Le but de ce prix est d'encourager l'attention au détail et la planification plus que tout. Savoir organiser ses ressources, minimiser les pertes et paufiner les détails est primordial.</t>
  </si>
  <si>
    <t>POINTAGE</t>
  </si>
  <si>
    <t>Ingnegnieur</t>
  </si>
  <si>
    <t>Vendeur</t>
  </si>
  <si>
    <t xml:space="preserve">Utilisation : Mettre un "X" dans la catégorie voulue. Dans la section préparation, mettre un chiffre indiquant le nombre de pièce, le coût et le nombre de commande respectivement. Attention de ne pas mettre plusieurs "X" : seulement celui le plus à gauche sera pris en compte. </t>
  </si>
  <si>
    <t>*Pour les parties manquantes / utilisation de devboard, il est possible de forcer une note à 0 en mettant directement dans le pointage.*</t>
  </si>
  <si>
    <t>Très bonne présentation et projet fonctionnel, mais manque de fiabilité OU Présentation minimale, mais projet fonctionnel et fiable.</t>
  </si>
  <si>
    <t>Certaines fonctionnalités de l'idée fonctionnent, mais manque des aspects majeurs OU certains aspects ont été révisés, modifiant le concept, mais reste fonctionnel.</t>
  </si>
  <si>
    <t>Prix du Gningnégnieur</t>
  </si>
  <si>
    <t>Le titre du Gningnégnieur est donné à l'équipe qui capture le coeur des juges. Même si le projet n'est pas parfaitement fonctionnel, il est possible de gagner ce prix en démontrant une compréhension des parties non-fonctionnelles et en faisant preuve de créativité : on promouvois l'originalité et l'apprentissage!</t>
  </si>
  <si>
    <t>Appréciation des juges</t>
  </si>
  <si>
    <t>Appréciation des participants</t>
  </si>
  <si>
    <t>Démonstration fonctionnelle</t>
  </si>
  <si>
    <t>Compréhension des parties non-fonctionnelles</t>
  </si>
  <si>
    <t>Fonctionnalité</t>
  </si>
  <si>
    <t>Complexité</t>
  </si>
  <si>
    <t>Hardware</t>
  </si>
  <si>
    <t>Gestion</t>
  </si>
  <si>
    <t>BOM</t>
  </si>
  <si>
    <t>Démonstration</t>
  </si>
  <si>
    <t>Présentation du projet (oral)</t>
  </si>
  <si>
    <t>Documentation (écrit)</t>
  </si>
  <si>
    <t>Esthétique du projet présenté (Boitier / finition)</t>
  </si>
  <si>
    <t>Conception électronique</t>
  </si>
  <si>
    <t>Choix de composants</t>
  </si>
  <si>
    <t>Conception préventive</t>
  </si>
  <si>
    <t>Qualité de l'assemblage et des réparations</t>
  </si>
  <si>
    <t xml:space="preserve">Un vote de tous les participants décidera du "rang" des équipes. Les 5 équipes gagnantes ont de 1 à 5 points. </t>
  </si>
  <si>
    <t xml:space="preserve">La fonctionnalité de l'idée est comparée à l'idée originale de l'équipe. </t>
  </si>
  <si>
    <t xml:space="preserve">L'équipe démontre une bonne compréhension des problèmes rencontrés et présente certaines solutions possibles. </t>
  </si>
  <si>
    <t xml:space="preserve">L'équipe démontre une excellente compréhension des problèmes rencontrés et présente des solutions possibles. </t>
  </si>
  <si>
    <t>L'équipe démontre une compréhension de certains problèmes rencontrés. Quelques pistes de solutions ont été considérées.</t>
  </si>
  <si>
    <t>L'équipe sait d'où vient le problème, mais ne sait pas nécessairement le résoudre.</t>
  </si>
  <si>
    <t>L'équipe n'a pas compris ou bien justifié pourquoi certaines fonctionnalités ont été délaissées.</t>
  </si>
  <si>
    <t>Intégration de plusieurs fonctionnalités techniques avancées : protocoles de communications, circuits analogiques, circuits intégrés exotiques, etc.</t>
  </si>
  <si>
    <t>Source de réduction de points possibles : -7 pour utilisation d'un DevBoard, -2/module pré-faits</t>
  </si>
  <si>
    <t xml:space="preserve">Source de réduction de points possibles : -7 pour l'utilisation de la librairie Arduino générale, -2/librairies simples utilisées. </t>
  </si>
  <si>
    <t>Software*</t>
  </si>
  <si>
    <t xml:space="preserve">*Si le projet n’a pas de code, les points sont jumelés à la section hardware afin d’évaluer la complexité du système logique. </t>
  </si>
  <si>
    <t>Coût total inférieur à 7,50$</t>
  </si>
  <si>
    <t>0 points si le coût surpasse 25 $</t>
  </si>
  <si>
    <t>20-(20*([coût]-7,5))/(25-7.5)</t>
  </si>
  <si>
    <t>X</t>
  </si>
  <si>
    <t>Une commande (5)</t>
  </si>
  <si>
    <t>Deux commandes (4)</t>
  </si>
  <si>
    <t>3 commandes (2)</t>
  </si>
  <si>
    <t>4+ commandes (0)</t>
  </si>
  <si>
    <t>L'apparence du projet a une finition complète, esthétique et vendable. Le système est confortable à utiliser.</t>
  </si>
  <si>
    <t>L'apparence manque légèrement de finition OU n'est pas assez appliquée au contexte d'utilisation OU le système n'est pas confortable à utiliser</t>
  </si>
  <si>
    <t>L'apparence manque légèrement de finition ET/OU n'est pas assez appliquée au contexte d'utilisation ET/OU le système n'est pas confortable à utiliser</t>
  </si>
  <si>
    <t>L'apparence manque légèrement de finition ET n'est pas assez appliquée au contexte d'utilisation ET le système n'est pas confortable à utiliser</t>
  </si>
  <si>
    <t>Dépend de la classe IPC-A-610 ; voir document pour spécifications</t>
  </si>
  <si>
    <t>Classe 3</t>
  </si>
  <si>
    <t>Classe 2</t>
  </si>
  <si>
    <t>Majoritairement classe 2</t>
  </si>
  <si>
    <t>Classe 1</t>
  </si>
  <si>
    <t>Bien organisé, conception électrique appropriée (traces, beignes, clearance), aucun angle pointu, traces regroupées</t>
  </si>
  <si>
    <t>Présence de composants de prototypage ("fusibles", filtres) et de protection (découplage, surtension, inversion de polarité, court-circuit)</t>
  </si>
  <si>
    <t>La majorité des éléments sont présents, mais certains aurait dû être implémentés</t>
  </si>
  <si>
    <t>Il est possible d'omettre certains éléments tant qu'il y a une bonne justification (documentation ou présentation)</t>
  </si>
  <si>
    <t>Un nombre minimal d'éléments ont été implémentés</t>
  </si>
  <si>
    <t>Aucun élément n'a été implémenté</t>
  </si>
  <si>
    <t>La majorité des attentes ont été respectées</t>
  </si>
  <si>
    <t>Cerains éléments majeurs sont absents ou mal implémentés.</t>
  </si>
  <si>
    <t>Le PCB manque de finition</t>
  </si>
  <si>
    <t>Cerains éléments mineurs sont absents ou mal implémentés.</t>
  </si>
  <si>
    <t>L'équipe a su justifier ses choix de composants</t>
  </si>
  <si>
    <t>Certains composants du BOM sont chers ou complexes sans justifications OU la justification n'est pas très précise</t>
  </si>
  <si>
    <t>Plusieurs composants du BOM sont chers ou complexes sans justifications OU la justification manque de robustesse</t>
  </si>
  <si>
    <t>Plusieurs composants du BOM sont chers ou complexes sans justifications ET la justification manque de robustesse</t>
  </si>
  <si>
    <t>L'équipe n'a pas pu justifier les composants choisis</t>
  </si>
  <si>
    <t>Idée, Compréhension des parties non-fonctionnelles, Complexité, Présentation, Documentation, Choix de composants, Conception préventive, Qualité du PCB, Qualité de l'assemblage et des réparations</t>
  </si>
  <si>
    <t>Gestion des ressources, Démonstration, Qualité du schéma électrique, Qualité du PCB, Qualité des soudures</t>
  </si>
  <si>
    <t>[Écrire le nombre de commandes effectué par l'équipe]</t>
  </si>
  <si>
    <t>[Écrire le montant dans le BOM (pour un projet)]</t>
  </si>
  <si>
    <r>
      <rPr>
        <sz val="11"/>
        <color theme="1"/>
        <rFont val="Amasis MT Pro"/>
        <family val="1"/>
      </rPr>
      <t xml:space="preserve">Documentation minimale. </t>
    </r>
    <r>
      <rPr>
        <i/>
        <sz val="11"/>
        <color theme="1"/>
        <rFont val="Amasis MT Pro"/>
        <family val="1"/>
      </rPr>
      <t>Aucun point ne sera donné dans cette catégorie si aucune documentation n'est remise.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</si>
</sst>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2"/>
      <color theme="1"/>
      <name val="Amasis MT Pro"/>
      <family val="1"/>
    </font>
    <font>
      <b/>
      <sz val="12"/>
      <color theme="1"/>
      <name val="Amasis MT Pro"/>
      <family val="1"/>
    </font>
    <font>
      <b/>
      <sz val="9"/>
      <color theme="1"/>
      <name val="Amasis MT Pro"/>
      <family val="1"/>
    </font>
    <font>
      <b/>
      <sz val="11"/>
      <color theme="1"/>
      <name val="Amasis MT Pro"/>
      <family val="1"/>
    </font>
    <font>
      <sz val="9"/>
      <color theme="1"/>
      <name val="Amasis MT Pro"/>
      <family val="1"/>
    </font>
    <font>
      <sz val="11"/>
      <color theme="1"/>
      <name val="Amasis MT Pro"/>
      <family val="1"/>
    </font>
    <font>
      <b/>
      <sz val="6"/>
      <color theme="1"/>
      <name val="Amasis MT Pro"/>
      <family val="1"/>
    </font>
    <font>
      <b/>
      <sz val="14"/>
      <color theme="1"/>
      <name val="Amasis MT Pro"/>
      <family val="1"/>
    </font>
    <font>
      <i/>
      <u/>
      <sz val="11"/>
      <color theme="1"/>
      <name val="Amasis MT Pro"/>
      <family val="1"/>
    </font>
    <font>
      <sz val="6"/>
      <color theme="1"/>
      <name val="Amasis MT Pro"/>
      <family val="1"/>
    </font>
    <font>
      <b/>
      <sz val="36"/>
      <color theme="1"/>
      <name val="Amasis MT Pro"/>
      <family val="1"/>
    </font>
    <font>
      <i/>
      <sz val="11"/>
      <color theme="1"/>
      <name val="Amasis MT Pro"/>
      <family val="1"/>
    </font>
  </fonts>
  <fills count="4">
    <fill>
      <patternFill patternType="none"/>
    </fill>
    <fill>
      <patternFill patternType="gray125"/>
    </fill>
    <fill>
      <patternFill patternType="solid">
        <fgColor theme="9"/>
        <bgColor indexed="64"/>
      </patternFill>
    </fill>
    <fill>
      <patternFill patternType="solid">
        <fgColor theme="9" tint="0.59999389629810485"/>
        <bgColor indexed="64"/>
      </patternFill>
    </fill>
  </fills>
  <borders count="5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9" tint="-0.499984740745262"/>
      </left>
      <right style="thin">
        <color theme="9" tint="-0.499984740745262"/>
      </right>
      <top/>
      <bottom/>
      <diagonal/>
    </border>
    <border>
      <left style="thin">
        <color theme="9" tint="-0.499984740745262"/>
      </left>
      <right style="thin">
        <color theme="9" tint="-0.499984740745262"/>
      </right>
      <top style="medium">
        <color indexed="64"/>
      </top>
      <bottom/>
      <diagonal/>
    </border>
    <border>
      <left style="thin">
        <color theme="9" tint="-0.499984740745262"/>
      </left>
      <right style="medium">
        <color indexed="64"/>
      </right>
      <top style="medium">
        <color indexed="64"/>
      </top>
      <bottom/>
      <diagonal/>
    </border>
    <border>
      <left style="thin">
        <color theme="9" tint="-0.499984740745262"/>
      </left>
      <right style="medium">
        <color indexed="64"/>
      </right>
      <top/>
      <bottom/>
      <diagonal/>
    </border>
    <border>
      <left style="thin">
        <color theme="9" tint="-0.249977111117893"/>
      </left>
      <right/>
      <top style="thin">
        <color indexed="64"/>
      </top>
      <bottom style="thin">
        <color theme="9" tint="-0.249977111117893"/>
      </bottom>
      <diagonal/>
    </border>
    <border>
      <left/>
      <right style="thin">
        <color theme="9" tint="-0.499984740745262"/>
      </right>
      <top style="medium">
        <color indexed="64"/>
      </top>
      <bottom/>
      <diagonal/>
    </border>
    <border>
      <left/>
      <right style="thin">
        <color theme="9" tint="-0.499984740745262"/>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theme="9" tint="-0.249977111117893"/>
      </top>
      <bottom style="thin">
        <color theme="9" tint="-0.249977111117893"/>
      </bottom>
      <diagonal/>
    </border>
    <border>
      <left/>
      <right style="medium">
        <color indexed="64"/>
      </right>
      <top/>
      <bottom style="thin">
        <color theme="9" tint="-0.249977111117893"/>
      </bottom>
      <diagonal/>
    </border>
    <border>
      <left/>
      <right style="medium">
        <color indexed="64"/>
      </right>
      <top style="thin">
        <color indexed="64"/>
      </top>
      <bottom/>
      <diagonal/>
    </border>
    <border>
      <left/>
      <right style="medium">
        <color indexed="64"/>
      </right>
      <top style="medium">
        <color indexed="64"/>
      </top>
      <bottom style="thin">
        <color theme="9" tint="-0.249977111117893"/>
      </bottom>
      <diagonal/>
    </border>
    <border>
      <left/>
      <right style="medium">
        <color indexed="64"/>
      </right>
      <top style="thin">
        <color theme="9" tint="-0.249977111117893"/>
      </top>
      <bottom/>
      <diagonal/>
    </border>
    <border>
      <left/>
      <right style="thin">
        <color indexed="64"/>
      </right>
      <top style="thin">
        <color indexed="64"/>
      </top>
      <bottom/>
      <diagonal/>
    </border>
    <border>
      <left/>
      <right style="thin">
        <color indexed="64"/>
      </right>
      <top/>
      <bottom style="thin">
        <color indexed="64"/>
      </bottom>
      <diagonal/>
    </border>
    <border>
      <left style="thin">
        <color theme="9" tint="-0.249977111117893"/>
      </left>
      <right style="thin">
        <color theme="9" tint="-0.249977111117893"/>
      </right>
      <top style="thin">
        <color theme="9" tint="-0.249977111117893"/>
      </top>
      <bottom style="thin">
        <color theme="9" tint="-0.249977111117893"/>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theme="9" tint="-0.499984740745262"/>
      </right>
      <top/>
      <bottom/>
      <diagonal/>
    </border>
    <border>
      <left/>
      <right style="medium">
        <color theme="9" tint="-0.249977111117893"/>
      </right>
      <top/>
      <bottom/>
      <diagonal/>
    </border>
    <border>
      <left style="thin">
        <color theme="9" tint="-0.249977111117893"/>
      </left>
      <right style="medium">
        <color theme="9" tint="-0.249977111117893"/>
      </right>
      <top style="thin">
        <color theme="9" tint="-0.249977111117893"/>
      </top>
      <bottom style="thin">
        <color theme="9" tint="-0.249977111117893"/>
      </bottom>
      <diagonal/>
    </border>
    <border>
      <left style="thin">
        <color theme="9" tint="-0.249977111117893"/>
      </left>
      <right style="medium">
        <color theme="9" tint="-0.249977111117893"/>
      </right>
      <top style="thin">
        <color theme="9" tint="-0.249977111117893"/>
      </top>
      <bottom/>
      <diagonal/>
    </border>
    <border>
      <left/>
      <right style="medium">
        <color theme="9" tint="-0.249977111117893"/>
      </right>
      <top style="medium">
        <color indexed="64"/>
      </top>
      <bottom/>
      <diagonal/>
    </border>
    <border>
      <left style="medium">
        <color indexed="64"/>
      </left>
      <right style="thin">
        <color theme="9" tint="-0.249977111117893"/>
      </right>
      <top style="thin">
        <color theme="9" tint="-0.249977111117893"/>
      </top>
      <bottom style="thin">
        <color theme="9" tint="-0.249977111117893"/>
      </bottom>
      <diagonal/>
    </border>
    <border>
      <left/>
      <right/>
      <top style="thin">
        <color indexed="64"/>
      </top>
      <bottom style="thin">
        <color theme="9" tint="-0.249977111117893"/>
      </bottom>
      <diagonal/>
    </border>
  </borders>
  <cellStyleXfs count="1">
    <xf numFmtId="0" fontId="0" fillId="0" borderId="0"/>
  </cellStyleXfs>
  <cellXfs count="128">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2" borderId="25" xfId="0" applyFont="1" applyFill="1" applyBorder="1" applyAlignment="1">
      <alignment horizontal="center" vertical="center"/>
    </xf>
    <xf numFmtId="0" fontId="3" fillId="2" borderId="21"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4" fillId="2" borderId="30" xfId="0" applyFont="1" applyFill="1" applyBorder="1" applyAlignment="1">
      <alignment horizontal="center" vertical="center"/>
    </xf>
    <xf numFmtId="0" fontId="5" fillId="0" borderId="0" xfId="0" applyFont="1"/>
    <xf numFmtId="0" fontId="2" fillId="2" borderId="15" xfId="0" applyFont="1" applyFill="1" applyBorder="1" applyAlignment="1">
      <alignment horizontal="center" vertical="center"/>
    </xf>
    <xf numFmtId="0" fontId="2" fillId="2" borderId="14" xfId="0" applyFont="1" applyFill="1" applyBorder="1" applyAlignment="1">
      <alignment horizontal="center" vertical="center"/>
    </xf>
    <xf numFmtId="0" fontId="1" fillId="2" borderId="26" xfId="0" applyFont="1" applyFill="1" applyBorder="1" applyAlignment="1">
      <alignment horizontal="center" vertical="center"/>
    </xf>
    <xf numFmtId="9" fontId="1" fillId="2" borderId="20" xfId="0" applyNumberFormat="1" applyFont="1" applyFill="1" applyBorder="1" applyAlignment="1">
      <alignment horizontal="center"/>
    </xf>
    <xf numFmtId="9" fontId="1" fillId="2" borderId="23" xfId="0" applyNumberFormat="1" applyFont="1" applyFill="1" applyBorder="1" applyAlignment="1">
      <alignment horizontal="center"/>
    </xf>
    <xf numFmtId="0" fontId="4" fillId="2" borderId="31" xfId="0" applyFont="1" applyFill="1" applyBorder="1" applyAlignment="1">
      <alignment horizontal="center" vertical="center"/>
    </xf>
    <xf numFmtId="0" fontId="6" fillId="0" borderId="0" xfId="0" applyFont="1"/>
    <xf numFmtId="0" fontId="7" fillId="3" borderId="9" xfId="0" applyFont="1" applyFill="1" applyBorder="1" applyAlignment="1">
      <alignment horizontal="center" vertical="center" textRotation="90"/>
    </xf>
    <xf numFmtId="0" fontId="4" fillId="3" borderId="55" xfId="0" applyFont="1" applyFill="1" applyBorder="1" applyAlignment="1">
      <alignment horizontal="center" vertical="center"/>
    </xf>
    <xf numFmtId="0" fontId="4" fillId="3" borderId="24" xfId="0" applyFont="1" applyFill="1" applyBorder="1" applyAlignment="1">
      <alignment horizontal="center" vertical="center"/>
    </xf>
    <xf numFmtId="0" fontId="6" fillId="0" borderId="18" xfId="0" applyFont="1" applyBorder="1" applyAlignment="1">
      <alignment horizontal="left" vertical="top" wrapText="1"/>
    </xf>
    <xf numFmtId="0" fontId="6" fillId="0" borderId="9" xfId="0" applyFont="1" applyBorder="1" applyAlignment="1">
      <alignment horizontal="left" vertical="top" wrapText="1"/>
    </xf>
    <xf numFmtId="0" fontId="6" fillId="0" borderId="10" xfId="0" applyFont="1" applyBorder="1" applyAlignment="1">
      <alignment horizontal="left" vertical="top" wrapText="1"/>
    </xf>
    <xf numFmtId="0" fontId="6" fillId="3" borderId="5" xfId="0" applyFont="1" applyFill="1" applyBorder="1"/>
    <xf numFmtId="0" fontId="2" fillId="2" borderId="30" xfId="0" applyFont="1" applyFill="1" applyBorder="1" applyAlignment="1">
      <alignment horizontal="center"/>
    </xf>
    <xf numFmtId="0" fontId="6" fillId="0" borderId="36" xfId="0" applyFont="1" applyBorder="1"/>
    <xf numFmtId="0" fontId="6" fillId="0" borderId="36" xfId="0" applyFont="1" applyBorder="1" applyAlignment="1">
      <alignment horizontal="right"/>
    </xf>
    <xf numFmtId="0" fontId="2" fillId="2" borderId="36" xfId="0" applyFont="1" applyFill="1" applyBorder="1" applyAlignment="1">
      <alignment horizontal="center"/>
    </xf>
    <xf numFmtId="0" fontId="6" fillId="0" borderId="35" xfId="0" applyFont="1" applyBorder="1" applyAlignment="1">
      <alignment horizontal="center" vertical="top" wrapText="1"/>
    </xf>
    <xf numFmtId="0" fontId="6" fillId="0" borderId="28" xfId="0" applyFont="1" applyBorder="1" applyAlignment="1">
      <alignment horizontal="center" vertical="top" wrapText="1"/>
    </xf>
    <xf numFmtId="0" fontId="6" fillId="0" borderId="29" xfId="0" applyFont="1" applyBorder="1" applyAlignment="1">
      <alignment horizontal="center" vertical="top" wrapText="1"/>
    </xf>
    <xf numFmtId="0" fontId="6" fillId="0" borderId="31" xfId="0" applyFont="1" applyBorder="1" applyAlignment="1">
      <alignment horizontal="right"/>
    </xf>
    <xf numFmtId="0" fontId="8" fillId="2" borderId="4" xfId="0" applyFont="1" applyFill="1" applyBorder="1" applyAlignment="1">
      <alignment horizontal="center" vertical="center"/>
    </xf>
    <xf numFmtId="0" fontId="8" fillId="2" borderId="0" xfId="0" applyFont="1" applyFill="1" applyAlignment="1">
      <alignment horizontal="center" vertical="center"/>
    </xf>
    <xf numFmtId="0" fontId="8" fillId="2" borderId="13" xfId="0" applyFont="1" applyFill="1" applyBorder="1" applyAlignment="1">
      <alignment horizontal="center" vertical="center"/>
    </xf>
    <xf numFmtId="0" fontId="6" fillId="2" borderId="0" xfId="0" applyFont="1" applyFill="1"/>
    <xf numFmtId="0" fontId="6" fillId="3" borderId="5" xfId="0" applyFont="1" applyFill="1" applyBorder="1" applyAlignment="1"/>
    <xf numFmtId="0" fontId="6" fillId="0" borderId="2" xfId="0" applyFont="1" applyBorder="1" applyAlignment="1">
      <alignment horizontal="center" wrapText="1"/>
    </xf>
    <xf numFmtId="0" fontId="9" fillId="0" borderId="0" xfId="0" applyFont="1" applyAlignment="1">
      <alignment horizontal="center"/>
    </xf>
    <xf numFmtId="0" fontId="11" fillId="0" borderId="0" xfId="0" applyFont="1" applyAlignment="1">
      <alignment vertical="center" textRotation="45" wrapText="1"/>
    </xf>
    <xf numFmtId="0" fontId="6" fillId="0" borderId="0" xfId="0" applyFont="1" applyAlignment="1">
      <alignment textRotation="135"/>
    </xf>
    <xf numFmtId="0" fontId="10" fillId="0" borderId="0" xfId="0" applyFont="1" applyAlignment="1">
      <alignment horizontal="center" vertical="center"/>
    </xf>
    <xf numFmtId="0" fontId="1" fillId="2" borderId="53" xfId="0" applyFont="1" applyFill="1" applyBorder="1" applyAlignment="1">
      <alignment horizontal="center" vertical="center"/>
    </xf>
    <xf numFmtId="0" fontId="2" fillId="2" borderId="25" xfId="0" applyFont="1" applyFill="1" applyBorder="1" applyAlignment="1">
      <alignment horizontal="center"/>
    </xf>
    <xf numFmtId="0" fontId="2" fillId="2" borderId="21" xfId="0" applyFont="1" applyFill="1" applyBorder="1" applyAlignment="1">
      <alignment horizontal="center"/>
    </xf>
    <xf numFmtId="0" fontId="2" fillId="2" borderId="22" xfId="0" applyFont="1" applyFill="1" applyBorder="1" applyAlignment="1">
      <alignment horizontal="center"/>
    </xf>
    <xf numFmtId="0" fontId="6" fillId="2" borderId="30" xfId="0" applyFont="1" applyFill="1" applyBorder="1" applyAlignment="1">
      <alignment horizontal="center" vertical="center" wrapText="1"/>
    </xf>
    <xf numFmtId="0" fontId="2" fillId="2" borderId="4" xfId="0" applyFont="1" applyFill="1" applyBorder="1" applyAlignment="1">
      <alignment horizontal="center" vertical="center"/>
    </xf>
    <xf numFmtId="0" fontId="2" fillId="2" borderId="0" xfId="0" applyFont="1" applyFill="1" applyBorder="1" applyAlignment="1">
      <alignment horizontal="center" vertical="center"/>
    </xf>
    <xf numFmtId="0" fontId="1" fillId="2" borderId="50" xfId="0" applyFont="1" applyFill="1" applyBorder="1" applyAlignment="1">
      <alignment horizontal="center" vertical="center"/>
    </xf>
    <xf numFmtId="9" fontId="1" fillId="2" borderId="49" xfId="0" applyNumberFormat="1" applyFont="1" applyFill="1" applyBorder="1" applyAlignment="1">
      <alignment horizontal="center"/>
    </xf>
    <xf numFmtId="0" fontId="6" fillId="2" borderId="31" xfId="0" applyFont="1" applyFill="1" applyBorder="1" applyAlignment="1">
      <alignment horizontal="center" vertical="center" wrapText="1"/>
    </xf>
    <xf numFmtId="0" fontId="8" fillId="3" borderId="54" xfId="0" applyFont="1" applyFill="1" applyBorder="1" applyAlignment="1">
      <alignment horizontal="center" vertical="center" textRotation="90"/>
    </xf>
    <xf numFmtId="0" fontId="4" fillId="3" borderId="46" xfId="0" applyFont="1" applyFill="1" applyBorder="1" applyAlignment="1">
      <alignment horizontal="center" vertical="center"/>
    </xf>
    <xf numFmtId="0" fontId="6" fillId="3" borderId="51" xfId="0" applyFont="1" applyFill="1" applyBorder="1" applyAlignment="1">
      <alignment horizontal="center" vertical="center"/>
    </xf>
    <xf numFmtId="0" fontId="6" fillId="0" borderId="47" xfId="0" applyFont="1" applyBorder="1" applyAlignment="1">
      <alignment horizontal="left" vertical="top" wrapText="1"/>
    </xf>
    <xf numFmtId="0" fontId="6" fillId="0" borderId="16" xfId="0" applyFont="1" applyBorder="1" applyAlignment="1">
      <alignment horizontal="left" vertical="top" wrapText="1"/>
    </xf>
    <xf numFmtId="0" fontId="6" fillId="0" borderId="16" xfId="0" applyFont="1" applyBorder="1" applyAlignment="1">
      <alignment vertical="top" wrapText="1"/>
    </xf>
    <xf numFmtId="0" fontId="6" fillId="0" borderId="17" xfId="0" applyFont="1" applyBorder="1" applyAlignment="1">
      <alignment horizontal="left" vertical="top" wrapText="1"/>
    </xf>
    <xf numFmtId="0" fontId="6" fillId="3" borderId="42" xfId="0" applyFont="1" applyFill="1" applyBorder="1" applyAlignment="1">
      <alignment vertical="top" wrapText="1"/>
    </xf>
    <xf numFmtId="0" fontId="6" fillId="0" borderId="14" xfId="0" applyFont="1" applyBorder="1" applyAlignment="1">
      <alignment horizontal="center" vertical="center"/>
    </xf>
    <xf numFmtId="0" fontId="6" fillId="0" borderId="34" xfId="0" applyFont="1" applyBorder="1" applyAlignment="1">
      <alignment horizontal="center" vertical="center"/>
    </xf>
    <xf numFmtId="0" fontId="6" fillId="3" borderId="39" xfId="0" applyFont="1" applyFill="1" applyBorder="1" applyAlignment="1">
      <alignment vertical="top" wrapText="1"/>
    </xf>
    <xf numFmtId="0" fontId="6" fillId="0" borderId="19" xfId="0" applyFont="1" applyBorder="1" applyAlignment="1">
      <alignment vertical="top" wrapText="1"/>
    </xf>
    <xf numFmtId="0" fontId="6" fillId="0" borderId="9" xfId="0" applyFont="1" applyBorder="1" applyAlignment="1">
      <alignment vertical="top" wrapText="1"/>
    </xf>
    <xf numFmtId="0" fontId="6" fillId="0" borderId="10" xfId="0" applyFont="1" applyBorder="1" applyAlignment="1">
      <alignment vertical="top" wrapText="1"/>
    </xf>
    <xf numFmtId="0" fontId="4" fillId="3" borderId="46" xfId="0" applyFont="1" applyFill="1" applyBorder="1" applyAlignment="1">
      <alignment horizontal="center" vertical="center" wrapText="1"/>
    </xf>
    <xf numFmtId="0" fontId="6" fillId="0" borderId="28" xfId="0" applyFont="1" applyBorder="1" applyAlignment="1">
      <alignment vertical="top" wrapText="1"/>
    </xf>
    <xf numFmtId="0" fontId="6" fillId="0" borderId="27" xfId="0" applyFont="1" applyBorder="1" applyAlignment="1">
      <alignment vertical="top" wrapText="1"/>
    </xf>
    <xf numFmtId="0" fontId="6" fillId="0" borderId="44" xfId="0" applyFont="1" applyBorder="1" applyAlignment="1">
      <alignment vertical="top" wrapText="1"/>
    </xf>
    <xf numFmtId="0" fontId="6" fillId="0" borderId="0" xfId="0" applyFont="1" applyBorder="1" applyAlignment="1">
      <alignment vertical="top" wrapText="1"/>
    </xf>
    <xf numFmtId="0" fontId="6" fillId="0" borderId="32" xfId="0" applyFont="1" applyBorder="1" applyAlignment="1">
      <alignment vertical="top" wrapText="1"/>
    </xf>
    <xf numFmtId="0" fontId="6" fillId="0" borderId="33" xfId="0" applyFont="1" applyBorder="1" applyAlignment="1">
      <alignment vertical="top" wrapText="1"/>
    </xf>
    <xf numFmtId="0" fontId="6" fillId="3" borderId="43" xfId="0" applyFont="1" applyFill="1" applyBorder="1" applyAlignment="1">
      <alignment vertical="top" wrapText="1"/>
    </xf>
    <xf numFmtId="0" fontId="6" fillId="3" borderId="51" xfId="0" applyFont="1" applyFill="1" applyBorder="1" applyAlignment="1">
      <alignment horizontal="center" vertical="center"/>
    </xf>
    <xf numFmtId="0" fontId="6" fillId="0" borderId="19" xfId="0" applyFont="1" applyBorder="1" applyAlignment="1">
      <alignment vertical="top" wrapText="1"/>
    </xf>
    <xf numFmtId="0" fontId="6" fillId="0" borderId="9" xfId="0" applyFont="1" applyBorder="1" applyAlignment="1">
      <alignment vertical="top" wrapText="1"/>
    </xf>
    <xf numFmtId="0" fontId="6" fillId="0" borderId="10" xfId="0" applyFont="1" applyBorder="1" applyAlignment="1">
      <alignment vertical="top" wrapText="1"/>
    </xf>
    <xf numFmtId="0" fontId="6" fillId="3" borderId="41" xfId="0" applyFont="1" applyFill="1" applyBorder="1" applyAlignment="1">
      <alignment horizontal="center" vertical="top" wrapText="1"/>
    </xf>
    <xf numFmtId="0" fontId="6" fillId="3" borderId="34" xfId="0" applyFont="1" applyFill="1" applyBorder="1" applyAlignment="1">
      <alignment horizontal="center" vertical="top" wrapText="1"/>
    </xf>
    <xf numFmtId="0" fontId="6" fillId="0" borderId="19" xfId="0" applyFont="1" applyFill="1" applyBorder="1" applyAlignment="1">
      <alignment vertical="top" wrapText="1"/>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19" xfId="0" applyFont="1" applyBorder="1" applyAlignment="1">
      <alignment horizontal="center" vertical="center"/>
    </xf>
    <xf numFmtId="0" fontId="6" fillId="0" borderId="10" xfId="0" applyFont="1" applyBorder="1" applyAlignment="1">
      <alignment vertical="top"/>
    </xf>
    <xf numFmtId="0" fontId="6" fillId="3" borderId="40" xfId="0" applyFont="1" applyFill="1" applyBorder="1" applyAlignment="1">
      <alignment vertical="top" wrapText="1"/>
    </xf>
    <xf numFmtId="0" fontId="6" fillId="0" borderId="19" xfId="0" applyFont="1" applyBorder="1" applyAlignment="1">
      <alignment vertical="top"/>
    </xf>
    <xf numFmtId="0" fontId="6" fillId="0" borderId="9" xfId="0" applyFont="1" applyBorder="1" applyAlignment="1">
      <alignment vertical="top"/>
    </xf>
    <xf numFmtId="0" fontId="6" fillId="0" borderId="45" xfId="0" applyFont="1" applyBorder="1" applyAlignment="1">
      <alignment vertical="top" wrapText="1"/>
    </xf>
    <xf numFmtId="0" fontId="6" fillId="0" borderId="37" xfId="0" applyFont="1" applyBorder="1" applyAlignment="1">
      <alignment vertical="top" wrapText="1"/>
    </xf>
    <xf numFmtId="0" fontId="6" fillId="0" borderId="38" xfId="0" applyFont="1" applyBorder="1" applyAlignment="1">
      <alignment vertical="top" wrapText="1"/>
    </xf>
    <xf numFmtId="0" fontId="6" fillId="0" borderId="19" xfId="0" applyFont="1" applyBorder="1" applyAlignment="1">
      <alignment horizontal="left" vertical="top" wrapText="1"/>
    </xf>
    <xf numFmtId="0" fontId="12" fillId="0" borderId="10" xfId="0" applyFont="1" applyBorder="1" applyAlignment="1">
      <alignment horizontal="left" vertical="top" wrapText="1"/>
    </xf>
    <xf numFmtId="0" fontId="6" fillId="3" borderId="34" xfId="0" applyFont="1" applyFill="1" applyBorder="1" applyAlignment="1">
      <alignment vertical="top" wrapText="1"/>
    </xf>
    <xf numFmtId="0" fontId="6" fillId="0" borderId="45"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3" borderId="52" xfId="0" applyFont="1" applyFill="1" applyBorder="1" applyAlignment="1">
      <alignment horizontal="center" vertical="center"/>
    </xf>
    <xf numFmtId="0" fontId="6" fillId="0" borderId="48" xfId="0" applyFont="1" applyBorder="1" applyAlignment="1">
      <alignment vertical="center" wrapText="1"/>
    </xf>
    <xf numFmtId="0" fontId="6" fillId="0" borderId="11" xfId="0" applyFont="1" applyBorder="1" applyAlignment="1">
      <alignment vertical="center" wrapText="1"/>
    </xf>
    <xf numFmtId="0" fontId="6" fillId="0" borderId="12" xfId="0" applyFont="1" applyBorder="1" applyAlignment="1">
      <alignment vertical="center" wrapText="1"/>
    </xf>
    <xf numFmtId="0" fontId="8" fillId="2" borderId="0" xfId="0" applyFont="1" applyFill="1" applyBorder="1" applyAlignment="1">
      <alignment horizontal="center" vertical="center"/>
    </xf>
    <xf numFmtId="0" fontId="6" fillId="2" borderId="0" xfId="0" applyFont="1" applyFill="1" applyBorder="1"/>
    <xf numFmtId="0" fontId="6" fillId="2" borderId="5" xfId="0" applyFont="1" applyFill="1" applyBorder="1" applyAlignment="1">
      <alignment wrapText="1"/>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6" fillId="2" borderId="7" xfId="0" applyFont="1" applyFill="1" applyBorder="1"/>
    <xf numFmtId="0" fontId="6" fillId="2" borderId="8" xfId="0" applyFont="1" applyFill="1" applyBorder="1" applyAlignment="1">
      <alignment wrapText="1"/>
    </xf>
    <xf numFmtId="0" fontId="6" fillId="0" borderId="0" xfId="0" applyFont="1" applyAlignment="1">
      <alignment wrapText="1"/>
    </xf>
    <xf numFmtId="0" fontId="4" fillId="2" borderId="1" xfId="0" applyFont="1" applyFill="1" applyBorder="1"/>
    <xf numFmtId="0" fontId="4" fillId="2" borderId="2" xfId="0" applyFont="1" applyFill="1" applyBorder="1"/>
    <xf numFmtId="0" fontId="4" fillId="2" borderId="3" xfId="0" applyFont="1" applyFill="1" applyBorder="1"/>
    <xf numFmtId="0" fontId="6" fillId="3" borderId="4" xfId="0" applyFont="1" applyFill="1" applyBorder="1" applyAlignment="1">
      <alignment vertical="top"/>
    </xf>
    <xf numFmtId="0" fontId="6" fillId="0" borderId="0" xfId="0" applyFont="1" applyAlignment="1">
      <alignment vertical="top"/>
    </xf>
    <xf numFmtId="0" fontId="6" fillId="0" borderId="0" xfId="0" applyFont="1" applyAlignment="1">
      <alignment horizontal="left" vertical="top"/>
    </xf>
    <xf numFmtId="0" fontId="6" fillId="0" borderId="5" xfId="0" applyFont="1" applyBorder="1" applyAlignment="1">
      <alignment vertical="top" wrapText="1"/>
    </xf>
    <xf numFmtId="0" fontId="6" fillId="0" borderId="0" xfId="0" applyFont="1" applyAlignment="1">
      <alignment horizontal="center" vertical="top" wrapText="1"/>
    </xf>
    <xf numFmtId="0" fontId="6" fillId="3" borderId="6" xfId="0" applyFont="1" applyFill="1" applyBorder="1" applyAlignment="1">
      <alignment vertical="top"/>
    </xf>
    <xf numFmtId="0" fontId="6" fillId="0" borderId="7" xfId="0" applyFont="1" applyBorder="1" applyAlignment="1">
      <alignment vertical="top" wrapText="1"/>
    </xf>
    <xf numFmtId="0" fontId="6" fillId="0" borderId="7" xfId="0" applyFont="1" applyBorder="1" applyAlignment="1">
      <alignment horizontal="left" vertical="top"/>
    </xf>
    <xf numFmtId="0" fontId="6" fillId="0" borderId="8" xfId="0" applyFont="1" applyBorder="1" applyAlignment="1">
      <alignment vertical="top" wrapText="1"/>
    </xf>
    <xf numFmtId="0" fontId="6" fillId="0" borderId="0" xfId="0" applyFont="1" applyAlignment="1">
      <alignment vertical="top" wrapText="1"/>
    </xf>
    <xf numFmtId="0" fontId="2" fillId="2" borderId="21"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8" fillId="2" borderId="13" xfId="0" applyFont="1" applyFill="1" applyBorder="1" applyAlignment="1">
      <alignment horizontal="center" vertical="center"/>
    </xf>
    <xf numFmtId="0" fontId="6" fillId="3" borderId="5" xfId="0" applyFont="1" applyFill="1" applyBorder="1" applyAlignment="1">
      <alignment horizontal="center"/>
    </xf>
    <xf numFmtId="0" fontId="6" fillId="3" borderId="8" xfId="0" applyFont="1" applyFill="1" applyBorder="1" applyAlignment="1">
      <alignment horizontal="center"/>
    </xf>
    <xf numFmtId="0" fontId="10" fillId="3" borderId="9" xfId="0" applyFont="1" applyFill="1" applyBorder="1" applyAlignment="1">
      <alignment horizontal="center" vertical="center" textRotation="90"/>
    </xf>
    <xf numFmtId="0" fontId="12" fillId="0" borderId="36" xfId="0" applyFont="1" applyBorder="1"/>
    <xf numFmtId="0" fontId="12" fillId="0" borderId="36" xfId="0" applyFont="1" applyBorder="1" applyAlignment="1">
      <alignment horizontal="right"/>
    </xf>
  </cellXfs>
  <cellStyles count="1">
    <cellStyle name="Normal" xfId="0" builtinId="0"/>
  </cellStyles>
  <dxfs count="17">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BDB7D-9D52-4F95-BFE9-3B913F948D0A}">
  <sheetPr>
    <tabColor theme="9" tint="-0.499984740745262"/>
  </sheetPr>
  <dimension ref="A1:P32"/>
  <sheetViews>
    <sheetView zoomScale="55" zoomScaleNormal="55" workbookViewId="0">
      <selection activeCell="U6" sqref="U6"/>
    </sheetView>
  </sheetViews>
  <sheetFormatPr defaultColWidth="9.140625" defaultRowHeight="15" x14ac:dyDescent="0.25"/>
  <cols>
    <col min="1" max="1" width="9.140625" style="14"/>
    <col min="2" max="2" width="35.7109375" style="14" bestFit="1" customWidth="1"/>
    <col min="3" max="3" width="9" style="14" bestFit="1" customWidth="1"/>
    <col min="4" max="8" width="37.85546875" style="14" customWidth="1"/>
    <col min="9" max="9" width="54" style="106" bestFit="1" customWidth="1"/>
    <col min="10" max="16384" width="9.140625" style="14"/>
  </cols>
  <sheetData>
    <row r="1" spans="1:16" ht="16.5" x14ac:dyDescent="0.3">
      <c r="A1" s="1" t="s">
        <v>0</v>
      </c>
      <c r="B1" s="2"/>
      <c r="C1" s="40" t="s">
        <v>1</v>
      </c>
      <c r="D1" s="41" t="s">
        <v>2</v>
      </c>
      <c r="E1" s="42" t="s">
        <v>3</v>
      </c>
      <c r="F1" s="42" t="s">
        <v>4</v>
      </c>
      <c r="G1" s="42" t="s">
        <v>5</v>
      </c>
      <c r="H1" s="43" t="s">
        <v>6</v>
      </c>
      <c r="I1" s="44" t="s">
        <v>7</v>
      </c>
    </row>
    <row r="2" spans="1:16" ht="16.5" thickBot="1" x14ac:dyDescent="0.3">
      <c r="A2" s="45"/>
      <c r="B2" s="46"/>
      <c r="C2" s="47"/>
      <c r="D2" s="48">
        <v>1</v>
      </c>
      <c r="E2" s="11">
        <v>0.8</v>
      </c>
      <c r="F2" s="11">
        <v>0.6</v>
      </c>
      <c r="G2" s="11">
        <v>0.4</v>
      </c>
      <c r="H2" s="12">
        <v>0.2</v>
      </c>
      <c r="I2" s="49"/>
    </row>
    <row r="3" spans="1:16" ht="45" x14ac:dyDescent="0.25">
      <c r="A3" s="50" t="s">
        <v>8</v>
      </c>
      <c r="B3" s="51" t="s">
        <v>73</v>
      </c>
      <c r="C3" s="52">
        <v>10</v>
      </c>
      <c r="D3" s="53" t="s">
        <v>9</v>
      </c>
      <c r="E3" s="54" t="s">
        <v>10</v>
      </c>
      <c r="F3" s="54" t="s">
        <v>11</v>
      </c>
      <c r="G3" s="55" t="s">
        <v>12</v>
      </c>
      <c r="H3" s="56" t="s">
        <v>13</v>
      </c>
      <c r="I3" s="57"/>
    </row>
    <row r="4" spans="1:16" ht="33" customHeight="1" x14ac:dyDescent="0.25">
      <c r="A4" s="50"/>
      <c r="B4" s="51" t="s">
        <v>74</v>
      </c>
      <c r="C4" s="52">
        <v>5</v>
      </c>
      <c r="D4" s="58" t="s">
        <v>90</v>
      </c>
      <c r="E4" s="58"/>
      <c r="F4" s="58"/>
      <c r="G4" s="58"/>
      <c r="H4" s="59"/>
      <c r="I4" s="60"/>
    </row>
    <row r="5" spans="1:16" ht="75" x14ac:dyDescent="0.25">
      <c r="A5" s="50" t="s">
        <v>77</v>
      </c>
      <c r="B5" s="51" t="s">
        <v>75</v>
      </c>
      <c r="C5" s="52">
        <v>20</v>
      </c>
      <c r="D5" s="61" t="s">
        <v>14</v>
      </c>
      <c r="E5" s="62" t="s">
        <v>15</v>
      </c>
      <c r="F5" s="62" t="s">
        <v>70</v>
      </c>
      <c r="G5" s="62" t="s">
        <v>16</v>
      </c>
      <c r="H5" s="63" t="s">
        <v>17</v>
      </c>
      <c r="I5" s="60" t="s">
        <v>91</v>
      </c>
    </row>
    <row r="6" spans="1:16" ht="60" x14ac:dyDescent="0.25">
      <c r="A6" s="50"/>
      <c r="B6" s="64" t="s">
        <v>76</v>
      </c>
      <c r="C6" s="52">
        <v>15</v>
      </c>
      <c r="D6" s="65" t="s">
        <v>93</v>
      </c>
      <c r="E6" s="62" t="s">
        <v>92</v>
      </c>
      <c r="F6" s="66" t="s">
        <v>94</v>
      </c>
      <c r="G6" s="62" t="s">
        <v>95</v>
      </c>
      <c r="H6" s="63" t="s">
        <v>96</v>
      </c>
      <c r="I6" s="60"/>
    </row>
    <row r="7" spans="1:16" ht="60" x14ac:dyDescent="0.25">
      <c r="A7" s="50" t="s">
        <v>78</v>
      </c>
      <c r="B7" s="51" t="s">
        <v>79</v>
      </c>
      <c r="C7" s="52">
        <v>25</v>
      </c>
      <c r="D7" s="67" t="s">
        <v>97</v>
      </c>
      <c r="E7" s="68" t="s">
        <v>20</v>
      </c>
      <c r="F7" s="69" t="s">
        <v>21</v>
      </c>
      <c r="G7" s="69" t="s">
        <v>22</v>
      </c>
      <c r="H7" s="70" t="s">
        <v>23</v>
      </c>
      <c r="I7" s="71" t="s">
        <v>98</v>
      </c>
    </row>
    <row r="8" spans="1:16" ht="15" customHeight="1" x14ac:dyDescent="0.25">
      <c r="A8" s="50"/>
      <c r="B8" s="51" t="s">
        <v>100</v>
      </c>
      <c r="C8" s="72">
        <v>20</v>
      </c>
      <c r="D8" s="73" t="s">
        <v>24</v>
      </c>
      <c r="E8" s="74" t="s">
        <v>25</v>
      </c>
      <c r="F8" s="74" t="s">
        <v>26</v>
      </c>
      <c r="G8" s="74" t="s">
        <v>27</v>
      </c>
      <c r="H8" s="75" t="s">
        <v>28</v>
      </c>
      <c r="I8" s="76" t="s">
        <v>99</v>
      </c>
    </row>
    <row r="9" spans="1:16" ht="60" x14ac:dyDescent="0.25">
      <c r="A9" s="50"/>
      <c r="B9" s="64" t="s">
        <v>101</v>
      </c>
      <c r="C9" s="72"/>
      <c r="D9" s="73"/>
      <c r="E9" s="74"/>
      <c r="F9" s="74"/>
      <c r="G9" s="74"/>
      <c r="H9" s="75"/>
      <c r="I9" s="77"/>
    </row>
    <row r="10" spans="1:16" ht="39.75" customHeight="1" x14ac:dyDescent="0.25">
      <c r="A10" s="50" t="s">
        <v>80</v>
      </c>
      <c r="B10" s="51" t="s">
        <v>81</v>
      </c>
      <c r="C10" s="52">
        <v>20</v>
      </c>
      <c r="D10" s="78" t="s">
        <v>102</v>
      </c>
      <c r="E10" s="79" t="s">
        <v>104</v>
      </c>
      <c r="F10" s="80"/>
      <c r="G10" s="81"/>
      <c r="H10" s="82" t="s">
        <v>103</v>
      </c>
      <c r="I10" s="83"/>
      <c r="P10" s="14" t="s">
        <v>29</v>
      </c>
    </row>
    <row r="11" spans="1:16" ht="45" customHeight="1" x14ac:dyDescent="0.25">
      <c r="A11" s="50"/>
      <c r="B11" s="51" t="s">
        <v>18</v>
      </c>
      <c r="C11" s="52">
        <v>5</v>
      </c>
      <c r="D11" s="84" t="s">
        <v>106</v>
      </c>
      <c r="E11" s="85" t="s">
        <v>107</v>
      </c>
      <c r="F11" s="85" t="s">
        <v>105</v>
      </c>
      <c r="G11" s="85" t="s">
        <v>108</v>
      </c>
      <c r="H11" s="82" t="s">
        <v>109</v>
      </c>
      <c r="I11" s="83"/>
    </row>
    <row r="12" spans="1:16" ht="60" x14ac:dyDescent="0.25">
      <c r="A12" s="50" t="s">
        <v>82</v>
      </c>
      <c r="B12" s="51" t="s">
        <v>83</v>
      </c>
      <c r="C12" s="52">
        <v>25</v>
      </c>
      <c r="D12" s="86" t="s">
        <v>30</v>
      </c>
      <c r="E12" s="87" t="s">
        <v>31</v>
      </c>
      <c r="F12" s="87" t="s">
        <v>69</v>
      </c>
      <c r="G12" s="87" t="s">
        <v>32</v>
      </c>
      <c r="H12" s="88" t="s">
        <v>33</v>
      </c>
      <c r="I12" s="83" t="s">
        <v>34</v>
      </c>
    </row>
    <row r="13" spans="1:16" ht="60" x14ac:dyDescent="0.25">
      <c r="A13" s="50"/>
      <c r="B13" s="51" t="s">
        <v>84</v>
      </c>
      <c r="C13" s="52">
        <v>20</v>
      </c>
      <c r="D13" s="89" t="s">
        <v>35</v>
      </c>
      <c r="E13" s="19" t="s">
        <v>36</v>
      </c>
      <c r="F13" s="19" t="s">
        <v>37</v>
      </c>
      <c r="G13" s="19" t="s">
        <v>38</v>
      </c>
      <c r="H13" s="90" t="s">
        <v>138</v>
      </c>
      <c r="I13" s="83"/>
    </row>
    <row r="14" spans="1:16" ht="75" x14ac:dyDescent="0.25">
      <c r="A14" s="50"/>
      <c r="B14" s="64" t="s">
        <v>85</v>
      </c>
      <c r="C14" s="52">
        <v>10</v>
      </c>
      <c r="D14" s="89" t="s">
        <v>110</v>
      </c>
      <c r="E14" s="19" t="s">
        <v>111</v>
      </c>
      <c r="F14" s="19" t="s">
        <v>112</v>
      </c>
      <c r="G14" s="19" t="s">
        <v>113</v>
      </c>
      <c r="H14" s="20" t="s">
        <v>52</v>
      </c>
      <c r="I14" s="91" t="s">
        <v>53</v>
      </c>
    </row>
    <row r="15" spans="1:16" ht="60" x14ac:dyDescent="0.25">
      <c r="A15" s="50" t="s">
        <v>86</v>
      </c>
      <c r="B15" s="51" t="s">
        <v>87</v>
      </c>
      <c r="C15" s="52">
        <v>10</v>
      </c>
      <c r="D15" s="89" t="s">
        <v>129</v>
      </c>
      <c r="E15" s="19" t="s">
        <v>130</v>
      </c>
      <c r="F15" s="19" t="s">
        <v>131</v>
      </c>
      <c r="G15" s="19" t="s">
        <v>132</v>
      </c>
      <c r="H15" s="20" t="s">
        <v>133</v>
      </c>
      <c r="I15" s="83"/>
    </row>
    <row r="16" spans="1:16" ht="60" x14ac:dyDescent="0.25">
      <c r="A16" s="50"/>
      <c r="B16" s="51" t="s">
        <v>39</v>
      </c>
      <c r="C16" s="52">
        <v>10</v>
      </c>
      <c r="D16" s="89" t="s">
        <v>40</v>
      </c>
      <c r="E16" s="19" t="s">
        <v>41</v>
      </c>
      <c r="F16" s="19" t="s">
        <v>42</v>
      </c>
      <c r="G16" s="19" t="s">
        <v>43</v>
      </c>
      <c r="H16" s="20" t="s">
        <v>44</v>
      </c>
      <c r="I16" s="83"/>
    </row>
    <row r="17" spans="1:9" ht="60" x14ac:dyDescent="0.25">
      <c r="A17" s="50"/>
      <c r="B17" s="51" t="s">
        <v>88</v>
      </c>
      <c r="C17" s="52">
        <v>10</v>
      </c>
      <c r="D17" s="92" t="s">
        <v>120</v>
      </c>
      <c r="E17" s="93" t="s">
        <v>121</v>
      </c>
      <c r="F17" s="93" t="s">
        <v>126</v>
      </c>
      <c r="G17" s="93" t="s">
        <v>123</v>
      </c>
      <c r="H17" s="94" t="s">
        <v>124</v>
      </c>
      <c r="I17" s="83" t="s">
        <v>122</v>
      </c>
    </row>
    <row r="18" spans="1:9" ht="45" x14ac:dyDescent="0.25">
      <c r="A18" s="50"/>
      <c r="B18" s="64" t="s">
        <v>45</v>
      </c>
      <c r="C18" s="52">
        <v>20</v>
      </c>
      <c r="D18" s="92" t="s">
        <v>119</v>
      </c>
      <c r="E18" s="93" t="s">
        <v>125</v>
      </c>
      <c r="F18" s="93" t="s">
        <v>128</v>
      </c>
      <c r="G18" s="93" t="s">
        <v>126</v>
      </c>
      <c r="H18" s="94" t="s">
        <v>127</v>
      </c>
      <c r="I18" s="83"/>
    </row>
    <row r="19" spans="1:9" ht="90" x14ac:dyDescent="0.25">
      <c r="A19" s="50"/>
      <c r="B19" s="64" t="s">
        <v>89</v>
      </c>
      <c r="C19" s="52">
        <v>10</v>
      </c>
      <c r="D19" s="89" t="s">
        <v>46</v>
      </c>
      <c r="E19" s="19" t="s">
        <v>47</v>
      </c>
      <c r="F19" s="19" t="s">
        <v>48</v>
      </c>
      <c r="G19" s="19" t="s">
        <v>49</v>
      </c>
      <c r="H19" s="20" t="s">
        <v>50</v>
      </c>
      <c r="I19" s="83" t="s">
        <v>114</v>
      </c>
    </row>
    <row r="20" spans="1:9" ht="30.75" thickBot="1" x14ac:dyDescent="0.3">
      <c r="A20" s="50"/>
      <c r="B20" s="51" t="s">
        <v>51</v>
      </c>
      <c r="C20" s="95">
        <v>15</v>
      </c>
      <c r="D20" s="96" t="s">
        <v>115</v>
      </c>
      <c r="E20" s="97" t="s">
        <v>116</v>
      </c>
      <c r="F20" s="97" t="s">
        <v>117</v>
      </c>
      <c r="G20" s="97" t="s">
        <v>118</v>
      </c>
      <c r="H20" s="98" t="s">
        <v>6</v>
      </c>
      <c r="I20" s="91" t="s">
        <v>114</v>
      </c>
    </row>
    <row r="21" spans="1:9" x14ac:dyDescent="0.25">
      <c r="A21" s="30" t="s">
        <v>54</v>
      </c>
      <c r="B21" s="99"/>
      <c r="C21" s="99">
        <f>SUM(C3:C20)</f>
        <v>250</v>
      </c>
      <c r="D21" s="100"/>
      <c r="E21" s="100"/>
      <c r="F21" s="100"/>
      <c r="G21" s="100"/>
      <c r="H21" s="100"/>
      <c r="I21" s="101"/>
    </row>
    <row r="22" spans="1:9" ht="15.75" thickBot="1" x14ac:dyDescent="0.3">
      <c r="A22" s="102"/>
      <c r="B22" s="103"/>
      <c r="C22" s="103"/>
      <c r="D22" s="104"/>
      <c r="E22" s="104"/>
      <c r="F22" s="104"/>
      <c r="G22" s="104"/>
      <c r="H22" s="104"/>
      <c r="I22" s="105"/>
    </row>
    <row r="26" spans="1:9" ht="15.75" customHeight="1" x14ac:dyDescent="0.25"/>
    <row r="31" spans="1:9" x14ac:dyDescent="0.25">
      <c r="I31" s="14"/>
    </row>
    <row r="32" spans="1:9" x14ac:dyDescent="0.25">
      <c r="I32" s="14"/>
    </row>
  </sheetData>
  <mergeCells count="20">
    <mergeCell ref="I8:I9"/>
    <mergeCell ref="E10:G10"/>
    <mergeCell ref="A12:A14"/>
    <mergeCell ref="D4:H4"/>
    <mergeCell ref="C8:C9"/>
    <mergeCell ref="D8:D9"/>
    <mergeCell ref="E8:E9"/>
    <mergeCell ref="F8:F9"/>
    <mergeCell ref="G8:G9"/>
    <mergeCell ref="H8:H9"/>
    <mergeCell ref="A21:B22"/>
    <mergeCell ref="C21:C22"/>
    <mergeCell ref="A1:B2"/>
    <mergeCell ref="A3:A4"/>
    <mergeCell ref="A5:A6"/>
    <mergeCell ref="A7:A9"/>
    <mergeCell ref="A10:A11"/>
    <mergeCell ref="A15:A20"/>
    <mergeCell ref="C1:C2"/>
    <mergeCell ref="I1:I2"/>
  </mergeCells>
  <pageMargins left="0" right="0" top="0" bottom="0" header="0" footer="0"/>
  <pageSetup paperSize="3"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5DE58-3C39-4146-8AAA-6E93D08718A2}">
  <sheetPr>
    <tabColor theme="7" tint="0.39997558519241921"/>
  </sheetPr>
  <dimension ref="B2:E25"/>
  <sheetViews>
    <sheetView workbookViewId="0">
      <selection activeCell="I4" sqref="I4"/>
    </sheetView>
  </sheetViews>
  <sheetFormatPr defaultColWidth="9.140625" defaultRowHeight="15" x14ac:dyDescent="0.25"/>
  <cols>
    <col min="1" max="1" width="3.42578125" style="14" customWidth="1"/>
    <col min="2" max="2" width="21.42578125" style="14" customWidth="1"/>
    <col min="3" max="3" width="26.5703125" style="14" bestFit="1" customWidth="1"/>
    <col min="4" max="4" width="17.28515625" style="14" bestFit="1" customWidth="1"/>
    <col min="5" max="5" width="55.7109375" style="14" customWidth="1"/>
    <col min="6" max="16384" width="9.140625" style="14"/>
  </cols>
  <sheetData>
    <row r="2" spans="2:5" x14ac:dyDescent="0.25">
      <c r="B2" s="107" t="s">
        <v>55</v>
      </c>
      <c r="C2" s="108" t="s">
        <v>56</v>
      </c>
      <c r="D2" s="108" t="s">
        <v>57</v>
      </c>
      <c r="E2" s="109" t="s">
        <v>58</v>
      </c>
    </row>
    <row r="3" spans="2:5" ht="90" x14ac:dyDescent="0.25">
      <c r="B3" s="110" t="s">
        <v>59</v>
      </c>
      <c r="C3" s="111" t="s">
        <v>60</v>
      </c>
      <c r="D3" s="112">
        <f>'Catégories et points'!C21</f>
        <v>250</v>
      </c>
      <c r="E3" s="113" t="s">
        <v>61</v>
      </c>
    </row>
    <row r="4" spans="2:5" ht="135" x14ac:dyDescent="0.25">
      <c r="B4" s="110" t="s">
        <v>71</v>
      </c>
      <c r="C4" s="114" t="s">
        <v>134</v>
      </c>
      <c r="D4" s="112">
        <f>SUM('Catégories et points'!C3:C4, 'Catégories et points'!C6:C7, 'Catégories et points'!C8:C9, 'Catégories et points'!C12:C13, 'Catégories et points'!C15, 'Catégories et points'!C17:C19)</f>
        <v>170</v>
      </c>
      <c r="E4" s="113" t="s">
        <v>72</v>
      </c>
    </row>
    <row r="5" spans="2:5" ht="90.75" thickBot="1" x14ac:dyDescent="0.3">
      <c r="B5" s="115" t="s">
        <v>62</v>
      </c>
      <c r="C5" s="116" t="s">
        <v>135</v>
      </c>
      <c r="D5" s="117">
        <f>SUM('Catégories et points'!C10:C14, 'Catégories et points'!C16, 'Catégories et points'!C18, 'Catégories et points'!C20)</f>
        <v>125</v>
      </c>
      <c r="E5" s="118" t="s">
        <v>63</v>
      </c>
    </row>
    <row r="6" spans="2:5" x14ac:dyDescent="0.25">
      <c r="B6" s="111"/>
      <c r="C6" s="111"/>
      <c r="D6" s="111"/>
      <c r="E6" s="119"/>
    </row>
    <row r="7" spans="2:5" x14ac:dyDescent="0.25">
      <c r="B7" s="111"/>
      <c r="C7" s="111"/>
      <c r="D7" s="111"/>
      <c r="E7" s="119"/>
    </row>
    <row r="8" spans="2:5" x14ac:dyDescent="0.25">
      <c r="B8" s="111"/>
      <c r="C8" s="111"/>
      <c r="D8" s="111"/>
      <c r="E8" s="119"/>
    </row>
    <row r="9" spans="2:5" x14ac:dyDescent="0.25">
      <c r="B9" s="111"/>
      <c r="C9" s="111"/>
      <c r="D9" s="111"/>
      <c r="E9" s="119"/>
    </row>
    <row r="10" spans="2:5" x14ac:dyDescent="0.25">
      <c r="B10" s="111"/>
      <c r="C10" s="111"/>
      <c r="D10" s="111"/>
      <c r="E10" s="119"/>
    </row>
    <row r="11" spans="2:5" ht="16.5" customHeight="1" x14ac:dyDescent="0.25">
      <c r="B11" s="111"/>
      <c r="C11" s="111"/>
      <c r="D11" s="111"/>
      <c r="E11" s="119"/>
    </row>
    <row r="12" spans="2:5" x14ac:dyDescent="0.25">
      <c r="B12" s="111"/>
      <c r="C12" s="111"/>
      <c r="D12" s="111"/>
      <c r="E12" s="119"/>
    </row>
    <row r="13" spans="2:5" x14ac:dyDescent="0.25">
      <c r="B13" s="111"/>
      <c r="C13" s="111"/>
      <c r="D13" s="111"/>
      <c r="E13" s="119"/>
    </row>
    <row r="14" spans="2:5" x14ac:dyDescent="0.25">
      <c r="B14" s="111"/>
      <c r="C14" s="111"/>
      <c r="D14" s="111"/>
      <c r="E14" s="119"/>
    </row>
    <row r="15" spans="2:5" x14ac:dyDescent="0.25">
      <c r="B15" s="111"/>
      <c r="C15" s="111"/>
      <c r="D15" s="111"/>
      <c r="E15" s="119"/>
    </row>
    <row r="16" spans="2:5" x14ac:dyDescent="0.25">
      <c r="B16" s="111"/>
      <c r="C16" s="111"/>
      <c r="D16" s="111"/>
      <c r="E16" s="119"/>
    </row>
    <row r="17" spans="2:5" x14ac:dyDescent="0.25">
      <c r="B17" s="111"/>
      <c r="C17" s="111"/>
      <c r="D17" s="111"/>
      <c r="E17" s="119"/>
    </row>
    <row r="18" spans="2:5" x14ac:dyDescent="0.25">
      <c r="B18" s="111"/>
      <c r="C18" s="111"/>
      <c r="D18" s="111"/>
      <c r="E18" s="119"/>
    </row>
    <row r="19" spans="2:5" x14ac:dyDescent="0.25">
      <c r="B19" s="111"/>
      <c r="C19" s="111"/>
      <c r="D19" s="111"/>
      <c r="E19" s="111"/>
    </row>
    <row r="20" spans="2:5" x14ac:dyDescent="0.25">
      <c r="B20" s="111"/>
      <c r="C20" s="111"/>
      <c r="D20" s="111"/>
      <c r="E20" s="111"/>
    </row>
    <row r="21" spans="2:5" x14ac:dyDescent="0.25">
      <c r="B21" s="111"/>
      <c r="C21" s="111"/>
      <c r="D21" s="111"/>
      <c r="E21" s="111"/>
    </row>
    <row r="22" spans="2:5" x14ac:dyDescent="0.25">
      <c r="B22" s="111"/>
      <c r="C22" s="111"/>
      <c r="D22" s="111"/>
      <c r="E22" s="111"/>
    </row>
    <row r="23" spans="2:5" x14ac:dyDescent="0.25">
      <c r="B23" s="111"/>
      <c r="C23" s="111"/>
      <c r="D23" s="111"/>
      <c r="E23" s="111"/>
    </row>
    <row r="24" spans="2:5" x14ac:dyDescent="0.25">
      <c r="B24" s="111"/>
      <c r="C24" s="111"/>
      <c r="D24" s="111"/>
      <c r="E24" s="111"/>
    </row>
    <row r="25" spans="2:5" x14ac:dyDescent="0.25">
      <c r="B25" s="111"/>
      <c r="C25" s="111"/>
      <c r="D25" s="111"/>
      <c r="E25" s="1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99675-5701-410F-9928-A16224511F83}">
  <sheetPr>
    <tabColor theme="5" tint="-0.249977111117893"/>
  </sheetPr>
  <dimension ref="A1:K31"/>
  <sheetViews>
    <sheetView tabSelected="1" zoomScaleNormal="100" workbookViewId="0">
      <selection activeCell="D10" sqref="D10:H10"/>
    </sheetView>
  </sheetViews>
  <sheetFormatPr defaultColWidth="9.140625" defaultRowHeight="15" x14ac:dyDescent="0.25"/>
  <cols>
    <col min="1" max="1" width="3" style="39" bestFit="1" customWidth="1"/>
    <col min="2" max="2" width="51.42578125" style="14" bestFit="1" customWidth="1"/>
    <col min="3" max="3" width="6.85546875" style="14" bestFit="1" customWidth="1"/>
    <col min="4" max="8" width="18" style="14" customWidth="1"/>
    <col min="9" max="9" width="10.42578125" style="14" bestFit="1" customWidth="1"/>
    <col min="10" max="10" width="9.140625" style="14"/>
    <col min="11" max="11" width="22" style="14" customWidth="1"/>
    <col min="12" max="16384" width="9.140625" style="14"/>
  </cols>
  <sheetData>
    <row r="1" spans="1:11" s="7" customFormat="1" ht="38.25" x14ac:dyDescent="0.25">
      <c r="A1" s="1" t="s">
        <v>0</v>
      </c>
      <c r="B1" s="2"/>
      <c r="C1" s="3" t="s">
        <v>1</v>
      </c>
      <c r="D1" s="4" t="s">
        <v>2</v>
      </c>
      <c r="E1" s="4" t="s">
        <v>3</v>
      </c>
      <c r="F1" s="4" t="s">
        <v>4</v>
      </c>
      <c r="G1" s="4" t="s">
        <v>5</v>
      </c>
      <c r="H1" s="5" t="s">
        <v>6</v>
      </c>
      <c r="I1" s="6" t="s">
        <v>64</v>
      </c>
    </row>
    <row r="2" spans="1:11" ht="16.5" thickBot="1" x14ac:dyDescent="0.3">
      <c r="A2" s="8"/>
      <c r="B2" s="9"/>
      <c r="C2" s="10"/>
      <c r="D2" s="11">
        <v>1</v>
      </c>
      <c r="E2" s="11">
        <v>0.8</v>
      </c>
      <c r="F2" s="11">
        <v>0.6</v>
      </c>
      <c r="G2" s="11">
        <v>0.4</v>
      </c>
      <c r="H2" s="12">
        <v>0.2</v>
      </c>
      <c r="I2" s="13"/>
    </row>
    <row r="3" spans="1:11" ht="21" customHeight="1" x14ac:dyDescent="0.3">
      <c r="A3" s="15" t="str">
        <f>'Catégories et points'!A3</f>
        <v>Idée</v>
      </c>
      <c r="B3" s="16" t="str">
        <f>'Catégories et points'!B3</f>
        <v>Appréciation des juges</v>
      </c>
      <c r="C3" s="17">
        <f>'Catégories et points'!C3</f>
        <v>10</v>
      </c>
      <c r="D3" s="18"/>
      <c r="E3" s="19"/>
      <c r="F3" s="19"/>
      <c r="G3" s="19"/>
      <c r="H3" s="20"/>
      <c r="I3" s="21" t="e">
        <f>(100-((MATCH("X", D3:H3, 0)-1)*20))*C3/100</f>
        <v>#N/A</v>
      </c>
      <c r="K3" s="22" t="s">
        <v>19</v>
      </c>
    </row>
    <row r="4" spans="1:11" ht="21" customHeight="1" x14ac:dyDescent="0.25">
      <c r="A4" s="15"/>
      <c r="B4" s="16" t="str">
        <f>'Catégories et points'!B4</f>
        <v>Appréciation des participants</v>
      </c>
      <c r="C4" s="17">
        <f>'Catégories et points'!C4</f>
        <v>5</v>
      </c>
      <c r="D4" s="18"/>
      <c r="E4" s="19"/>
      <c r="F4" s="19"/>
      <c r="G4" s="19"/>
      <c r="H4" s="20"/>
      <c r="I4" s="21" t="e">
        <f>(100-((MATCH("X", D4:H4, 0)-1)*20))*C4/100</f>
        <v>#N/A</v>
      </c>
      <c r="K4" s="23" t="e">
        <f>I20</f>
        <v>#N/A</v>
      </c>
    </row>
    <row r="5" spans="1:11" ht="21" customHeight="1" x14ac:dyDescent="0.25">
      <c r="A5" s="15" t="str">
        <f>'Catégories et points'!A5</f>
        <v>Fonctionnalité</v>
      </c>
      <c r="B5" s="16" t="str">
        <f>'Catégories et points'!B5</f>
        <v>Démonstration fonctionnelle</v>
      </c>
      <c r="C5" s="17">
        <f>'Catégories et points'!C5</f>
        <v>20</v>
      </c>
      <c r="D5" s="18"/>
      <c r="E5" s="19"/>
      <c r="F5" s="19"/>
      <c r="G5" s="19"/>
      <c r="H5" s="20"/>
      <c r="I5" s="21" t="e">
        <f t="shared" ref="I5:I19" si="0">(100-((MATCH("X", D5:H5, 0)-1)*20))*C5/100</f>
        <v>#N/A</v>
      </c>
      <c r="K5" s="24">
        <f>C20</f>
        <v>250</v>
      </c>
    </row>
    <row r="6" spans="1:11" ht="21" customHeight="1" x14ac:dyDescent="0.25">
      <c r="A6" s="15"/>
      <c r="B6" s="16" t="str">
        <f>'Catégories et points'!B6</f>
        <v>Compréhension des parties non-fonctionnelles</v>
      </c>
      <c r="C6" s="17">
        <f>'Catégories et points'!C6</f>
        <v>15</v>
      </c>
      <c r="D6" s="18"/>
      <c r="E6" s="19"/>
      <c r="F6" s="19"/>
      <c r="G6" s="19"/>
      <c r="H6" s="20"/>
      <c r="I6" s="21" t="e">
        <f t="shared" si="0"/>
        <v>#N/A</v>
      </c>
      <c r="K6" s="23"/>
    </row>
    <row r="7" spans="1:11" ht="21" customHeight="1" x14ac:dyDescent="0.3">
      <c r="A7" s="15" t="str">
        <f>'Catégories et points'!A7</f>
        <v>Complexité</v>
      </c>
      <c r="B7" s="16" t="str">
        <f>'Catégories et points'!B7</f>
        <v>Hardware</v>
      </c>
      <c r="C7" s="17">
        <f>'Catégories et points'!C7</f>
        <v>25</v>
      </c>
      <c r="D7" s="18"/>
      <c r="E7" s="19"/>
      <c r="F7" s="19"/>
      <c r="G7" s="19"/>
      <c r="H7" s="20"/>
      <c r="I7" s="21" t="e">
        <f t="shared" si="0"/>
        <v>#N/A</v>
      </c>
      <c r="K7" s="25" t="s">
        <v>65</v>
      </c>
    </row>
    <row r="8" spans="1:11" ht="21" customHeight="1" x14ac:dyDescent="0.25">
      <c r="A8" s="15"/>
      <c r="B8" s="16" t="str">
        <f>'Catégories et points'!B8</f>
        <v>Software*</v>
      </c>
      <c r="C8" s="17">
        <f>'Catégories et points'!C8</f>
        <v>20</v>
      </c>
      <c r="D8" s="18"/>
      <c r="E8" s="19"/>
      <c r="F8" s="19"/>
      <c r="G8" s="19"/>
      <c r="H8" s="20"/>
      <c r="I8" s="21" t="e">
        <f t="shared" si="0"/>
        <v>#N/A</v>
      </c>
      <c r="K8" s="24" t="e">
        <f>SUM(I3,I4,I6,I7,I8,I11,I12,I14,I16,I17,I18)</f>
        <v>#N/A</v>
      </c>
    </row>
    <row r="9" spans="1:11" ht="21" customHeight="1" x14ac:dyDescent="0.25">
      <c r="A9" s="15" t="str">
        <f>'Catégories et points'!A10</f>
        <v>Gestion</v>
      </c>
      <c r="B9" s="16" t="str">
        <f>'Catégories et points'!B10</f>
        <v>BOM</v>
      </c>
      <c r="C9" s="17">
        <f>'Catégories et points'!C10</f>
        <v>20</v>
      </c>
      <c r="D9" s="26" t="s">
        <v>137</v>
      </c>
      <c r="E9" s="27"/>
      <c r="F9" s="27"/>
      <c r="G9" s="27"/>
      <c r="H9" s="28"/>
      <c r="I9" s="21">
        <f>IF(D9&lt;7.5,20,IF(D9&gt;25,0,ROUND((20-(20*(D9-7.5))/(25-7.5)), 1)))</f>
        <v>0</v>
      </c>
      <c r="K9" s="24">
        <f>SUM(C3,C4,C6,C7,C8,C11,C12,C14,C16,C17,C18)</f>
        <v>170</v>
      </c>
    </row>
    <row r="10" spans="1:11" ht="21" customHeight="1" x14ac:dyDescent="0.25">
      <c r="A10" s="15"/>
      <c r="B10" s="16" t="str">
        <f>'Catégories et points'!B11</f>
        <v>Nombre de commandes</v>
      </c>
      <c r="C10" s="17">
        <f>'Catégories et points'!C11</f>
        <v>5</v>
      </c>
      <c r="D10" s="26" t="s">
        <v>136</v>
      </c>
      <c r="E10" s="27"/>
      <c r="F10" s="27"/>
      <c r="G10" s="27"/>
      <c r="H10" s="28"/>
      <c r="I10" s="21">
        <f>IF(D10=1,5,IF(D10=2,4,IF(D10=3,2,0)))</f>
        <v>0</v>
      </c>
      <c r="K10" s="23"/>
    </row>
    <row r="11" spans="1:11" ht="21" customHeight="1" x14ac:dyDescent="0.3">
      <c r="A11" s="15" t="str">
        <f>'Catégories et points'!A12</f>
        <v>Démonstration</v>
      </c>
      <c r="B11" s="16" t="str">
        <f>'Catégories et points'!B12</f>
        <v>Présentation du projet (oral)</v>
      </c>
      <c r="C11" s="17">
        <f>'Catégories et points'!C12</f>
        <v>25</v>
      </c>
      <c r="D11" s="18"/>
      <c r="E11" s="19"/>
      <c r="F11" s="19"/>
      <c r="G11" s="19"/>
      <c r="H11" s="20"/>
      <c r="I11" s="21" t="e">
        <f t="shared" si="0"/>
        <v>#N/A</v>
      </c>
      <c r="K11" s="25" t="s">
        <v>66</v>
      </c>
    </row>
    <row r="12" spans="1:11" ht="21" customHeight="1" thickBot="1" x14ac:dyDescent="0.3">
      <c r="A12" s="15"/>
      <c r="B12" s="16" t="str">
        <f>'Catégories et points'!B13</f>
        <v>Documentation (écrit)</v>
      </c>
      <c r="C12" s="17">
        <f>'Catégories et points'!C13</f>
        <v>20</v>
      </c>
      <c r="D12" s="18"/>
      <c r="E12" s="19"/>
      <c r="F12" s="19"/>
      <c r="G12" s="19"/>
      <c r="H12" s="20"/>
      <c r="I12" s="21" t="e">
        <f t="shared" si="0"/>
        <v>#N/A</v>
      </c>
      <c r="K12" s="29" t="e">
        <f>SUM(I9,I10,I11,I12,I13,I15,I17,I19)</f>
        <v>#N/A</v>
      </c>
    </row>
    <row r="13" spans="1:11" ht="21" customHeight="1" thickBot="1" x14ac:dyDescent="0.3">
      <c r="A13" s="15"/>
      <c r="B13" s="16" t="str">
        <f>'Catégories et points'!B14</f>
        <v>Esthétique du projet présenté (Boitier / finition)</v>
      </c>
      <c r="C13" s="17">
        <f>'Catégories et points'!C14</f>
        <v>10</v>
      </c>
      <c r="D13" s="18"/>
      <c r="E13" s="19"/>
      <c r="F13" s="19"/>
      <c r="G13" s="19"/>
      <c r="H13" s="20"/>
      <c r="I13" s="21" t="e">
        <f t="shared" si="0"/>
        <v>#N/A</v>
      </c>
      <c r="K13" s="29">
        <f>SUM(C9,C10,C11,C12,C13,C15,C17,C19)</f>
        <v>125</v>
      </c>
    </row>
    <row r="14" spans="1:11" ht="21" customHeight="1" x14ac:dyDescent="0.25">
      <c r="A14" s="15" t="str">
        <f>'Catégories et points'!A15</f>
        <v>Conception électronique</v>
      </c>
      <c r="B14" s="16" t="str">
        <f>'Catégories et points'!B15</f>
        <v>Choix de composants</v>
      </c>
      <c r="C14" s="17">
        <f>'Catégories et points'!C15</f>
        <v>10</v>
      </c>
      <c r="D14" s="18"/>
      <c r="E14" s="19"/>
      <c r="F14" s="19"/>
      <c r="G14" s="19"/>
      <c r="H14" s="20"/>
      <c r="I14" s="21" t="e">
        <f t="shared" si="0"/>
        <v>#N/A</v>
      </c>
    </row>
    <row r="15" spans="1:11" ht="21" customHeight="1" x14ac:dyDescent="0.25">
      <c r="A15" s="15"/>
      <c r="B15" s="16" t="str">
        <f>'Catégories et points'!B16</f>
        <v>Qualité du schéma électrique</v>
      </c>
      <c r="C15" s="17">
        <f>'Catégories et points'!C16</f>
        <v>10</v>
      </c>
      <c r="D15" s="18"/>
      <c r="E15" s="19"/>
      <c r="F15" s="19"/>
      <c r="G15" s="19"/>
      <c r="H15" s="20"/>
      <c r="I15" s="21" t="e">
        <f t="shared" si="0"/>
        <v>#N/A</v>
      </c>
    </row>
    <row r="16" spans="1:11" ht="21" customHeight="1" x14ac:dyDescent="0.25">
      <c r="A16" s="15"/>
      <c r="B16" s="16" t="str">
        <f>'Catégories et points'!B17</f>
        <v>Conception préventive</v>
      </c>
      <c r="C16" s="17">
        <f>'Catégories et points'!C17</f>
        <v>10</v>
      </c>
      <c r="D16" s="18"/>
      <c r="E16" s="19"/>
      <c r="F16" s="19"/>
      <c r="G16" s="19"/>
      <c r="H16" s="20"/>
      <c r="I16" s="21" t="e">
        <f t="shared" si="0"/>
        <v>#N/A</v>
      </c>
    </row>
    <row r="17" spans="1:9" ht="21" customHeight="1" x14ac:dyDescent="0.25">
      <c r="A17" s="15"/>
      <c r="B17" s="16" t="str">
        <f>'Catégories et points'!B18</f>
        <v>Qualité du PCB</v>
      </c>
      <c r="C17" s="17">
        <f>'Catégories et points'!C18</f>
        <v>20</v>
      </c>
      <c r="D17" s="18"/>
      <c r="E17" s="19"/>
      <c r="F17" s="19"/>
      <c r="G17" s="19"/>
      <c r="H17" s="20"/>
      <c r="I17" s="21" t="e">
        <f t="shared" si="0"/>
        <v>#N/A</v>
      </c>
    </row>
    <row r="18" spans="1:9" ht="21" customHeight="1" x14ac:dyDescent="0.25">
      <c r="A18" s="15"/>
      <c r="B18" s="16" t="str">
        <f>'Catégories et points'!B19</f>
        <v>Qualité de l'assemblage et des réparations</v>
      </c>
      <c r="C18" s="17">
        <f>'Catégories et points'!C19</f>
        <v>10</v>
      </c>
      <c r="D18" s="18"/>
      <c r="E18" s="19"/>
      <c r="F18" s="19"/>
      <c r="G18" s="19"/>
      <c r="H18" s="20"/>
      <c r="I18" s="21" t="e">
        <f t="shared" si="0"/>
        <v>#N/A</v>
      </c>
    </row>
    <row r="19" spans="1:9" ht="21" customHeight="1" x14ac:dyDescent="0.25">
      <c r="A19" s="15"/>
      <c r="B19" s="16" t="str">
        <f>'Catégories et points'!B20</f>
        <v>Qualité des soudures</v>
      </c>
      <c r="C19" s="17">
        <f>'Catégories et points'!C20</f>
        <v>15</v>
      </c>
      <c r="D19" s="18"/>
      <c r="E19" s="19"/>
      <c r="F19" s="19"/>
      <c r="G19" s="19"/>
      <c r="H19" s="20"/>
      <c r="I19" s="21" t="e">
        <f t="shared" si="0"/>
        <v>#N/A</v>
      </c>
    </row>
    <row r="20" spans="1:9" ht="15" customHeight="1" thickBot="1" x14ac:dyDescent="0.3">
      <c r="A20" s="30" t="s">
        <v>54</v>
      </c>
      <c r="B20" s="31"/>
      <c r="C20" s="32">
        <f>SUM(C3:C19)</f>
        <v>250</v>
      </c>
      <c r="D20" s="33"/>
      <c r="E20" s="33"/>
      <c r="F20" s="33"/>
      <c r="G20" s="33"/>
      <c r="H20" s="33"/>
      <c r="I20" s="34" t="e">
        <f>SUM(I3:I19)</f>
        <v>#N/A</v>
      </c>
    </row>
    <row r="21" spans="1:9" x14ac:dyDescent="0.25">
      <c r="A21" s="35" t="s">
        <v>67</v>
      </c>
      <c r="B21" s="35"/>
      <c r="C21" s="35"/>
      <c r="D21" s="35"/>
      <c r="E21" s="35"/>
      <c r="F21" s="35"/>
      <c r="G21" s="35"/>
      <c r="H21" s="35"/>
      <c r="I21" s="35"/>
    </row>
    <row r="22" spans="1:9" x14ac:dyDescent="0.25">
      <c r="A22" s="36" t="s">
        <v>68</v>
      </c>
      <c r="B22" s="36"/>
      <c r="C22" s="36"/>
      <c r="D22" s="36"/>
      <c r="E22" s="36"/>
      <c r="F22" s="36"/>
      <c r="G22" s="36"/>
      <c r="H22" s="36"/>
      <c r="I22" s="36"/>
    </row>
    <row r="26" spans="1:9" ht="15" customHeight="1" x14ac:dyDescent="0.25">
      <c r="F26" s="37"/>
    </row>
    <row r="27" spans="1:9" ht="15" customHeight="1" x14ac:dyDescent="0.25">
      <c r="F27" s="37"/>
    </row>
    <row r="28" spans="1:9" ht="15" customHeight="1" x14ac:dyDescent="0.25">
      <c r="F28" s="37"/>
    </row>
    <row r="29" spans="1:9" ht="15" customHeight="1" x14ac:dyDescent="0.25">
      <c r="F29" s="37"/>
    </row>
    <row r="30" spans="1:9" ht="15" customHeight="1" x14ac:dyDescent="0.25">
      <c r="F30" s="37"/>
    </row>
    <row r="31" spans="1:9" ht="15" customHeight="1" x14ac:dyDescent="0.25">
      <c r="F31" s="37"/>
      <c r="G31" s="38"/>
    </row>
  </sheetData>
  <mergeCells count="14">
    <mergeCell ref="A22:I22"/>
    <mergeCell ref="A14:A19"/>
    <mergeCell ref="A20:B20"/>
    <mergeCell ref="A21:I21"/>
    <mergeCell ref="A7:A8"/>
    <mergeCell ref="A9:A10"/>
    <mergeCell ref="D9:H9"/>
    <mergeCell ref="D10:H10"/>
    <mergeCell ref="A11:A13"/>
    <mergeCell ref="A1:B2"/>
    <mergeCell ref="C1:C2"/>
    <mergeCell ref="I1:I2"/>
    <mergeCell ref="A3:A4"/>
    <mergeCell ref="A5:A6"/>
  </mergeCells>
  <conditionalFormatting sqref="D3:E4 D8:E8 K8:K9 E5:E7 D11:E19 D9:D10">
    <cfRule type="containsText" dxfId="12" priority="6" operator="containsText" text="X">
      <formula>NOT(ISERROR(SEARCH("X",D3)))</formula>
    </cfRule>
  </conditionalFormatting>
  <conditionalFormatting sqref="F3:G8 F11:G19">
    <cfRule type="containsText" dxfId="11" priority="5" operator="containsText" text="X">
      <formula>NOT(ISERROR(SEARCH("X",F3)))</formula>
    </cfRule>
  </conditionalFormatting>
  <conditionalFormatting sqref="H3:H8 H11:H19">
    <cfRule type="containsText" dxfId="10" priority="4" operator="containsText" text="x">
      <formula>NOT(ISERROR(SEARCH("x",H3)))</formula>
    </cfRule>
  </conditionalFormatting>
  <conditionalFormatting sqref="D3:D19">
    <cfRule type="containsText" dxfId="9" priority="3" operator="containsText" text="X">
      <formula>NOT(ISERROR(SEARCH("X",D3)))</formula>
    </cfRule>
  </conditionalFormatting>
  <conditionalFormatting sqref="D6">
    <cfRule type="containsText" dxfId="8" priority="2" operator="containsText" text="X">
      <formula>NOT(ISERROR(SEARCH("X",D6)))</formula>
    </cfRule>
  </conditionalFormatting>
  <conditionalFormatting sqref="D7">
    <cfRule type="containsText" dxfId="7" priority="1" operator="containsText" text="X">
      <formula>NOT(ISERROR(SEARCH("X",D7)))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AA4D0-1765-4B30-8932-37DEBEF8881D}">
  <sheetPr>
    <tabColor theme="5" tint="0.59999389629810485"/>
  </sheetPr>
  <dimension ref="A1:K32"/>
  <sheetViews>
    <sheetView workbookViewId="0">
      <selection sqref="A1:I21"/>
    </sheetView>
  </sheetViews>
  <sheetFormatPr defaultColWidth="9.140625" defaultRowHeight="15" x14ac:dyDescent="0.25"/>
  <cols>
    <col min="1" max="1" width="3" style="14" bestFit="1" customWidth="1"/>
    <col min="2" max="2" width="51.42578125" style="14" bestFit="1" customWidth="1"/>
    <col min="3" max="3" width="6.85546875" style="14" bestFit="1" customWidth="1"/>
    <col min="4" max="8" width="18" style="14" customWidth="1"/>
    <col min="9" max="9" width="10.42578125" style="14" bestFit="1" customWidth="1"/>
    <col min="10" max="10" width="9.140625" style="14"/>
    <col min="11" max="11" width="22" style="14" customWidth="1"/>
    <col min="12" max="16384" width="9.140625" style="14"/>
  </cols>
  <sheetData>
    <row r="1" spans="1:11" ht="49.5" x14ac:dyDescent="0.25">
      <c r="A1" s="1" t="s">
        <v>0</v>
      </c>
      <c r="B1" s="2"/>
      <c r="C1" s="3" t="s">
        <v>1</v>
      </c>
      <c r="D1" s="120" t="s">
        <v>2</v>
      </c>
      <c r="E1" s="120" t="s">
        <v>3</v>
      </c>
      <c r="F1" s="120" t="s">
        <v>4</v>
      </c>
      <c r="G1" s="120" t="s">
        <v>5</v>
      </c>
      <c r="H1" s="121" t="s">
        <v>6</v>
      </c>
      <c r="I1" s="6" t="s">
        <v>64</v>
      </c>
    </row>
    <row r="2" spans="1:11" ht="16.5" thickBot="1" x14ac:dyDescent="0.3">
      <c r="A2" s="8"/>
      <c r="B2" s="9"/>
      <c r="C2" s="10"/>
      <c r="D2" s="11">
        <v>1</v>
      </c>
      <c r="E2" s="11">
        <v>0.8</v>
      </c>
      <c r="F2" s="11">
        <v>0.6</v>
      </c>
      <c r="G2" s="11">
        <v>0.4</v>
      </c>
      <c r="H2" s="12">
        <v>0.2</v>
      </c>
      <c r="I2" s="13"/>
    </row>
    <row r="3" spans="1:11" ht="15.75" customHeight="1" x14ac:dyDescent="0.3">
      <c r="A3" s="125" t="str">
        <f>'Catégories et points'!A3</f>
        <v>Idée</v>
      </c>
      <c r="B3" s="16" t="str">
        <f>'Catégories et points'!B3</f>
        <v>Appréciation des juges</v>
      </c>
      <c r="C3" s="17">
        <f>'Catégories et points'!C3</f>
        <v>10</v>
      </c>
      <c r="D3" s="18" t="s">
        <v>105</v>
      </c>
      <c r="E3" s="19"/>
      <c r="F3" s="19"/>
      <c r="G3" s="19"/>
      <c r="H3" s="20"/>
      <c r="I3" s="21">
        <f>(100-((MATCH("X", D3:H3, 0)-1)*20))*C3/100</f>
        <v>10</v>
      </c>
      <c r="K3" s="22" t="s">
        <v>19</v>
      </c>
    </row>
    <row r="4" spans="1:11" ht="15.75" customHeight="1" x14ac:dyDescent="0.25">
      <c r="A4" s="125"/>
      <c r="B4" s="16" t="str">
        <f>'Catégories et points'!B4</f>
        <v>Appréciation des participants</v>
      </c>
      <c r="C4" s="17">
        <f>'Catégories et points'!C4</f>
        <v>5</v>
      </c>
      <c r="D4" s="18"/>
      <c r="E4" s="19"/>
      <c r="F4" s="19" t="s">
        <v>105</v>
      </c>
      <c r="G4" s="19"/>
      <c r="H4" s="20"/>
      <c r="I4" s="21">
        <f>(100-((MATCH("X", D4:H4, 0)-1)*20))*C4/100</f>
        <v>3</v>
      </c>
      <c r="K4" s="126">
        <f>I20</f>
        <v>173.3</v>
      </c>
    </row>
    <row r="5" spans="1:11" ht="15.75" customHeight="1" x14ac:dyDescent="0.25">
      <c r="A5" s="125" t="str">
        <f>'Catégories et points'!A5</f>
        <v>Fonctionnalité</v>
      </c>
      <c r="B5" s="16" t="str">
        <f>'Catégories et points'!B5</f>
        <v>Démonstration fonctionnelle</v>
      </c>
      <c r="C5" s="17">
        <f>'Catégories et points'!C5</f>
        <v>20</v>
      </c>
      <c r="D5" s="18"/>
      <c r="E5" s="19"/>
      <c r="F5" s="19"/>
      <c r="G5" s="19" t="s">
        <v>105</v>
      </c>
      <c r="H5" s="20"/>
      <c r="I5" s="21">
        <f t="shared" ref="I5:I19" si="0">(100-((MATCH("X", D5:H5, 0)-1)*20))*C5/100</f>
        <v>8</v>
      </c>
      <c r="K5" s="24">
        <f>C20</f>
        <v>250</v>
      </c>
    </row>
    <row r="6" spans="1:11" ht="15.75" customHeight="1" x14ac:dyDescent="0.25">
      <c r="A6" s="125"/>
      <c r="B6" s="16" t="str">
        <f>'Catégories et points'!B6</f>
        <v>Compréhension des parties non-fonctionnelles</v>
      </c>
      <c r="C6" s="17">
        <f>'Catégories et points'!C6</f>
        <v>15</v>
      </c>
      <c r="D6" s="18"/>
      <c r="E6" s="19" t="s">
        <v>105</v>
      </c>
      <c r="F6" s="19"/>
      <c r="G6" s="19"/>
      <c r="H6" s="20"/>
      <c r="I6" s="21">
        <f t="shared" si="0"/>
        <v>12</v>
      </c>
      <c r="K6" s="23"/>
    </row>
    <row r="7" spans="1:11" ht="15.75" customHeight="1" x14ac:dyDescent="0.3">
      <c r="A7" s="125" t="str">
        <f>'Catégories et points'!A7</f>
        <v>Complexité</v>
      </c>
      <c r="B7" s="16" t="str">
        <f>'Catégories et points'!B7</f>
        <v>Hardware</v>
      </c>
      <c r="C7" s="17">
        <f>'Catégories et points'!C7</f>
        <v>25</v>
      </c>
      <c r="D7" s="18" t="s">
        <v>105</v>
      </c>
      <c r="E7" s="19"/>
      <c r="F7" s="19"/>
      <c r="G7" s="19"/>
      <c r="H7" s="20"/>
      <c r="I7" s="21">
        <f t="shared" si="0"/>
        <v>25</v>
      </c>
      <c r="K7" s="25" t="s">
        <v>65</v>
      </c>
    </row>
    <row r="8" spans="1:11" ht="15.75" customHeight="1" x14ac:dyDescent="0.25">
      <c r="A8" s="125"/>
      <c r="B8" s="16" t="str">
        <f>'Catégories et points'!B8</f>
        <v>Software*</v>
      </c>
      <c r="C8" s="17">
        <f>'Catégories et points'!C8</f>
        <v>20</v>
      </c>
      <c r="D8" s="18"/>
      <c r="E8" s="19"/>
      <c r="F8" s="19"/>
      <c r="G8" s="19"/>
      <c r="H8" s="20" t="s">
        <v>105</v>
      </c>
      <c r="I8" s="21">
        <f t="shared" si="0"/>
        <v>4</v>
      </c>
      <c r="K8" s="127">
        <f>SUM(I3,I4,I6,I7,I8,I11,I12,I14,I16,I17,I18)</f>
        <v>132</v>
      </c>
    </row>
    <row r="9" spans="1:11" ht="15.75" customHeight="1" x14ac:dyDescent="0.25">
      <c r="A9" s="125" t="str">
        <f>'Catégories et points'!A10</f>
        <v>Gestion</v>
      </c>
      <c r="B9" s="16" t="str">
        <f>'Catégories et points'!B10</f>
        <v>BOM</v>
      </c>
      <c r="C9" s="17">
        <f>'Catégories et points'!C10</f>
        <v>20</v>
      </c>
      <c r="D9" s="26">
        <v>16.89</v>
      </c>
      <c r="E9" s="27"/>
      <c r="F9" s="27"/>
      <c r="G9" s="27"/>
      <c r="H9" s="28"/>
      <c r="I9" s="21">
        <f>IF(D9&lt;7.5,20,IF(D9&gt;25,0,ROUND((20-(20*(D9-7.5))/(25-7.5)), 1)))</f>
        <v>9.3000000000000007</v>
      </c>
      <c r="K9" s="24">
        <f>SUM(C3,C4,C6,C7,C8,C11,C12,C14,C16,C17,C18)</f>
        <v>170</v>
      </c>
    </row>
    <row r="10" spans="1:11" ht="15.75" customHeight="1" x14ac:dyDescent="0.25">
      <c r="A10" s="125"/>
      <c r="B10" s="16" t="str">
        <f>'Catégories et points'!B11</f>
        <v>Nombre de commandes</v>
      </c>
      <c r="C10" s="17">
        <f>'Catégories et points'!C11</f>
        <v>5</v>
      </c>
      <c r="D10" s="26">
        <v>2</v>
      </c>
      <c r="E10" s="27"/>
      <c r="F10" s="27"/>
      <c r="G10" s="27"/>
      <c r="H10" s="28"/>
      <c r="I10" s="21">
        <f>IF(D10=1,5,IF(D10=2,4,IF(D10=3,2,0)))</f>
        <v>4</v>
      </c>
      <c r="K10" s="23"/>
    </row>
    <row r="11" spans="1:11" ht="15.75" customHeight="1" x14ac:dyDescent="0.3">
      <c r="A11" s="125" t="str">
        <f>'Catégories et points'!A12</f>
        <v>Démonstration</v>
      </c>
      <c r="B11" s="16" t="str">
        <f>'Catégories et points'!B12</f>
        <v>Présentation du projet (oral)</v>
      </c>
      <c r="C11" s="17">
        <f>'Catégories et points'!C12</f>
        <v>25</v>
      </c>
      <c r="D11" s="18"/>
      <c r="E11" s="19" t="s">
        <v>105</v>
      </c>
      <c r="F11" s="19"/>
      <c r="G11" s="19"/>
      <c r="H11" s="20"/>
      <c r="I11" s="21">
        <f t="shared" si="0"/>
        <v>20</v>
      </c>
      <c r="K11" s="25" t="s">
        <v>66</v>
      </c>
    </row>
    <row r="12" spans="1:11" ht="15.75" customHeight="1" x14ac:dyDescent="0.25">
      <c r="A12" s="125"/>
      <c r="B12" s="16" t="str">
        <f>'Catégories et points'!B13</f>
        <v>Documentation (écrit)</v>
      </c>
      <c r="C12" s="17">
        <f>'Catégories et points'!C13</f>
        <v>20</v>
      </c>
      <c r="D12" s="18" t="s">
        <v>105</v>
      </c>
      <c r="E12" s="19"/>
      <c r="F12" s="19"/>
      <c r="G12" s="19"/>
      <c r="H12" s="20"/>
      <c r="I12" s="21">
        <f t="shared" si="0"/>
        <v>20</v>
      </c>
      <c r="K12" s="127">
        <f>SUM(I9,I10,I11,I12,I13,I15,I17,I19)</f>
        <v>89.3</v>
      </c>
    </row>
    <row r="13" spans="1:11" ht="15.75" customHeight="1" thickBot="1" x14ac:dyDescent="0.3">
      <c r="A13" s="125"/>
      <c r="B13" s="16" t="str">
        <f>'Catégories et points'!B14</f>
        <v>Esthétique du projet présenté (Boitier / finition)</v>
      </c>
      <c r="C13" s="17">
        <f>'Catégories et points'!C14</f>
        <v>10</v>
      </c>
      <c r="D13" s="18"/>
      <c r="E13" s="19"/>
      <c r="F13" s="19"/>
      <c r="G13" s="19" t="s">
        <v>105</v>
      </c>
      <c r="H13" s="20"/>
      <c r="I13" s="21">
        <f t="shared" si="0"/>
        <v>4</v>
      </c>
      <c r="K13" s="29">
        <f>SUM(C9,C10,C11,C12,C13,C15,C17,C19)</f>
        <v>125</v>
      </c>
    </row>
    <row r="14" spans="1:11" ht="15.75" customHeight="1" x14ac:dyDescent="0.25">
      <c r="A14" s="125" t="str">
        <f>'Catégories et points'!A15</f>
        <v>Conception électronique</v>
      </c>
      <c r="B14" s="16" t="str">
        <f>'Catégories et points'!B15</f>
        <v>Choix de composants</v>
      </c>
      <c r="C14" s="17">
        <f>'Catégories et points'!C15</f>
        <v>10</v>
      </c>
      <c r="D14" s="18"/>
      <c r="E14" s="19" t="s">
        <v>105</v>
      </c>
      <c r="F14" s="19"/>
      <c r="G14" s="19"/>
      <c r="H14" s="20"/>
      <c r="I14" s="21">
        <f t="shared" si="0"/>
        <v>8</v>
      </c>
    </row>
    <row r="15" spans="1:11" ht="15.75" customHeight="1" x14ac:dyDescent="0.25">
      <c r="A15" s="125"/>
      <c r="B15" s="16" t="str">
        <f>'Catégories et points'!B16</f>
        <v>Qualité du schéma électrique</v>
      </c>
      <c r="C15" s="17">
        <f>'Catégories et points'!C16</f>
        <v>10</v>
      </c>
      <c r="D15" s="18" t="s">
        <v>105</v>
      </c>
      <c r="E15" s="19"/>
      <c r="F15" s="19"/>
      <c r="G15" s="19"/>
      <c r="H15" s="20"/>
      <c r="I15" s="21">
        <f t="shared" si="0"/>
        <v>10</v>
      </c>
    </row>
    <row r="16" spans="1:11" ht="15.75" customHeight="1" x14ac:dyDescent="0.25">
      <c r="A16" s="125"/>
      <c r="B16" s="16" t="str">
        <f>'Catégories et points'!B17</f>
        <v>Conception préventive</v>
      </c>
      <c r="C16" s="17">
        <f>'Catégories et points'!C17</f>
        <v>10</v>
      </c>
      <c r="D16" s="18"/>
      <c r="E16" s="19" t="s">
        <v>105</v>
      </c>
      <c r="F16" s="19"/>
      <c r="G16" s="19"/>
      <c r="H16" s="20"/>
      <c r="I16" s="21">
        <f t="shared" si="0"/>
        <v>8</v>
      </c>
    </row>
    <row r="17" spans="1:9" ht="15.75" customHeight="1" x14ac:dyDescent="0.25">
      <c r="A17" s="125"/>
      <c r="B17" s="16" t="str">
        <f>'Catégories et points'!B18</f>
        <v>Qualité du PCB</v>
      </c>
      <c r="C17" s="17">
        <f>'Catégories et points'!C18</f>
        <v>20</v>
      </c>
      <c r="D17" s="18"/>
      <c r="E17" s="19" t="s">
        <v>105</v>
      </c>
      <c r="F17" s="19"/>
      <c r="G17" s="19"/>
      <c r="H17" s="20"/>
      <c r="I17" s="21">
        <f t="shared" si="0"/>
        <v>16</v>
      </c>
    </row>
    <row r="18" spans="1:9" ht="15.75" customHeight="1" x14ac:dyDescent="0.25">
      <c r="A18" s="125"/>
      <c r="B18" s="16" t="str">
        <f>'Catégories et points'!B19</f>
        <v>Qualité de l'assemblage et des réparations</v>
      </c>
      <c r="C18" s="17">
        <f>'Catégories et points'!C19</f>
        <v>10</v>
      </c>
      <c r="D18" s="18"/>
      <c r="E18" s="19"/>
      <c r="F18" s="19" t="s">
        <v>105</v>
      </c>
      <c r="G18" s="19"/>
      <c r="H18" s="20"/>
      <c r="I18" s="21">
        <f t="shared" si="0"/>
        <v>6</v>
      </c>
    </row>
    <row r="19" spans="1:9" ht="15.75" customHeight="1" x14ac:dyDescent="0.25">
      <c r="A19" s="125"/>
      <c r="B19" s="16" t="str">
        <f>'Catégories et points'!B20</f>
        <v>Qualité des soudures</v>
      </c>
      <c r="C19" s="17">
        <f>'Catégories et points'!C20</f>
        <v>15</v>
      </c>
      <c r="D19" s="18"/>
      <c r="E19" s="19"/>
      <c r="F19" s="19"/>
      <c r="G19" s="19" t="s">
        <v>105</v>
      </c>
      <c r="H19" s="20"/>
      <c r="I19" s="21">
        <f t="shared" si="0"/>
        <v>6</v>
      </c>
    </row>
    <row r="20" spans="1:9" ht="15" customHeight="1" x14ac:dyDescent="0.25">
      <c r="A20" s="30" t="s">
        <v>54</v>
      </c>
      <c r="B20" s="31"/>
      <c r="C20" s="122">
        <f>SUM(C3:C19)</f>
        <v>250</v>
      </c>
      <c r="D20" s="33"/>
      <c r="E20" s="33"/>
      <c r="F20" s="33"/>
      <c r="G20" s="33"/>
      <c r="H20" s="33"/>
      <c r="I20" s="123">
        <f>SUM(I3:I19)</f>
        <v>173.3</v>
      </c>
    </row>
    <row r="21" spans="1:9" ht="15" customHeight="1" thickBot="1" x14ac:dyDescent="0.3">
      <c r="A21" s="102"/>
      <c r="B21" s="103"/>
      <c r="C21" s="103"/>
      <c r="D21" s="104"/>
      <c r="E21" s="104"/>
      <c r="F21" s="104"/>
      <c r="G21" s="104"/>
      <c r="H21" s="104"/>
      <c r="I21" s="124"/>
    </row>
    <row r="22" spans="1:9" x14ac:dyDescent="0.25">
      <c r="A22" s="35" t="s">
        <v>67</v>
      </c>
      <c r="B22" s="35"/>
      <c r="C22" s="35"/>
      <c r="D22" s="35"/>
      <c r="E22" s="35"/>
      <c r="F22" s="35"/>
      <c r="G22" s="35"/>
      <c r="H22" s="35"/>
      <c r="I22" s="35"/>
    </row>
    <row r="23" spans="1:9" x14ac:dyDescent="0.25">
      <c r="A23" s="36" t="s">
        <v>68</v>
      </c>
      <c r="B23" s="36"/>
      <c r="C23" s="36"/>
      <c r="D23" s="36"/>
      <c r="E23" s="36"/>
      <c r="F23" s="36"/>
      <c r="G23" s="36"/>
      <c r="H23" s="36"/>
      <c r="I23" s="36"/>
    </row>
    <row r="27" spans="1:9" ht="15" customHeight="1" x14ac:dyDescent="0.25">
      <c r="F27" s="37"/>
    </row>
    <row r="28" spans="1:9" ht="15" customHeight="1" x14ac:dyDescent="0.25">
      <c r="F28" s="37"/>
    </row>
    <row r="29" spans="1:9" ht="15" customHeight="1" x14ac:dyDescent="0.25">
      <c r="F29" s="37"/>
    </row>
    <row r="30" spans="1:9" ht="15" customHeight="1" x14ac:dyDescent="0.25">
      <c r="F30" s="37"/>
    </row>
    <row r="31" spans="1:9" ht="15" customHeight="1" x14ac:dyDescent="0.25">
      <c r="F31" s="37"/>
    </row>
    <row r="32" spans="1:9" ht="15" customHeight="1" x14ac:dyDescent="0.25">
      <c r="F32" s="37"/>
      <c r="G32" s="38"/>
    </row>
  </sheetData>
  <mergeCells count="16">
    <mergeCell ref="A14:A19"/>
    <mergeCell ref="D9:H9"/>
    <mergeCell ref="D10:H10"/>
    <mergeCell ref="A3:A4"/>
    <mergeCell ref="A5:A6"/>
    <mergeCell ref="A7:A8"/>
    <mergeCell ref="A9:A10"/>
    <mergeCell ref="A11:A13"/>
    <mergeCell ref="A1:B2"/>
    <mergeCell ref="C1:C2"/>
    <mergeCell ref="I1:I2"/>
    <mergeCell ref="I20:I21"/>
    <mergeCell ref="A22:I22"/>
    <mergeCell ref="A23:I23"/>
    <mergeCell ref="A20:B21"/>
    <mergeCell ref="C20:C21"/>
  </mergeCells>
  <conditionalFormatting sqref="D3:E4 D8:E8 K8:K9 E3:E8 D11:E19 D9:D10">
    <cfRule type="containsText" dxfId="5" priority="7" operator="containsText" text="X">
      <formula>NOT(ISERROR(SEARCH("X",D3)))</formula>
    </cfRule>
  </conditionalFormatting>
  <conditionalFormatting sqref="F3:G8 F11:G19">
    <cfRule type="containsText" dxfId="4" priority="6" operator="containsText" text="X">
      <formula>NOT(ISERROR(SEARCH("X",F3)))</formula>
    </cfRule>
  </conditionalFormatting>
  <conditionalFormatting sqref="H3:H8 H11:H19">
    <cfRule type="containsText" dxfId="3" priority="5" operator="containsText" text="x">
      <formula>NOT(ISERROR(SEARCH("x",H3)))</formula>
    </cfRule>
  </conditionalFormatting>
  <conditionalFormatting sqref="D3:D19">
    <cfRule type="containsText" dxfId="2" priority="3" operator="containsText" text="X">
      <formula>NOT(ISERROR(SEARCH("X",D3)))</formula>
    </cfRule>
  </conditionalFormatting>
  <conditionalFormatting sqref="D6">
    <cfRule type="containsText" dxfId="1" priority="2" operator="containsText" text="X">
      <formula>NOT(ISERROR(SEARCH("X",D6)))</formula>
    </cfRule>
  </conditionalFormatting>
  <conditionalFormatting sqref="D7">
    <cfRule type="containsText" dxfId="0" priority="1" operator="containsText" text="X">
      <formula>NOT(ISERROR(SEARCH("X",D7)))</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73BCB8DB02F314E9B33D47D2328BEE3" ma:contentTypeVersion="11" ma:contentTypeDescription="Crée un document." ma:contentTypeScope="" ma:versionID="e554ae5040b51359eb2ce52773233a0a">
  <xsd:schema xmlns:xsd="http://www.w3.org/2001/XMLSchema" xmlns:xs="http://www.w3.org/2001/XMLSchema" xmlns:p="http://schemas.microsoft.com/office/2006/metadata/properties" xmlns:ns2="3ab60a15-fb7d-489d-9e0d-4f2626c05be0" xmlns:ns3="05dc0aba-4466-4464-ae54-e30ec1d1960e" targetNamespace="http://schemas.microsoft.com/office/2006/metadata/properties" ma:root="true" ma:fieldsID="19c39bb3469a366f9905408a925319f0" ns2:_="" ns3:_="">
    <xsd:import namespace="3ab60a15-fb7d-489d-9e0d-4f2626c05be0"/>
    <xsd:import namespace="05dc0aba-4466-4464-ae54-e30ec1d196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b60a15-fb7d-489d-9e0d-4f2626c05be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d264a842-8adc-43f3-ad4e-91e5e271ce18"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5dc0aba-4466-4464-ae54-e30ec1d1960e"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e276286-86e1-408e-aafb-3d2652486757}" ma:internalName="TaxCatchAll" ma:showField="CatchAllData" ma:web="05dc0aba-4466-4464-ae54-e30ec1d1960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05dc0aba-4466-4464-ae54-e30ec1d1960e" xsi:nil="true"/>
    <lcf76f155ced4ddcb4097134ff3c332f xmlns="3ab60a15-fb7d-489d-9e0d-4f2626c05be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09A377B-1383-472B-B89A-D827AFE0E9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b60a15-fb7d-489d-9e0d-4f2626c05be0"/>
    <ds:schemaRef ds:uri="05dc0aba-4466-4464-ae54-e30ec1d196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48E509B-3AD9-4ADB-A04D-8A1AC7C016E0}">
  <ds:schemaRefs>
    <ds:schemaRef ds:uri="http://schemas.microsoft.com/sharepoint/v3/contenttype/forms"/>
  </ds:schemaRefs>
</ds:datastoreItem>
</file>

<file path=customXml/itemProps3.xml><?xml version="1.0" encoding="utf-8"?>
<ds:datastoreItem xmlns:ds="http://schemas.openxmlformats.org/officeDocument/2006/customXml" ds:itemID="{39E559EB-709E-4B75-890C-8D93753D697E}">
  <ds:schemaRefs>
    <ds:schemaRef ds:uri="http://purl.org/dc/terms/"/>
    <ds:schemaRef ds:uri="http://schemas.microsoft.com/office/2006/documentManagement/types"/>
    <ds:schemaRef ds:uri="http://purl.org/dc/elements/1.1/"/>
    <ds:schemaRef ds:uri="http://schemas.openxmlformats.org/package/2006/metadata/core-properties"/>
    <ds:schemaRef ds:uri="http://purl.org/dc/dcmitype/"/>
    <ds:schemaRef ds:uri="3ab60a15-fb7d-489d-9e0d-4f2626c05be0"/>
    <ds:schemaRef ds:uri="05dc0aba-4466-4464-ae54-e30ec1d1960e"/>
    <ds:schemaRef ds:uri="http://schemas.microsoft.com/office/infopath/2007/PartnerControl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Catégories et points</vt:lpstr>
      <vt:lpstr>Prix et catégories</vt:lpstr>
      <vt:lpstr>Grille d'évaluation</vt:lpstr>
      <vt:lpstr>Exemple d'utilisation grille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Miriam Caisse</dc:creator>
  <cp:keywords/>
  <dc:description/>
  <cp:lastModifiedBy>Miriam Caisse</cp:lastModifiedBy>
  <cp:revision/>
  <cp:lastPrinted>2024-04-27T00:27:20Z</cp:lastPrinted>
  <dcterms:created xsi:type="dcterms:W3CDTF">2024-04-20T21:28:02Z</dcterms:created>
  <dcterms:modified xsi:type="dcterms:W3CDTF">2024-09-01T04:37:22Z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0x010100873BCB8DB02F314E9B33D47D2328BEE3</vt:lpwstr>
  </property>
  <property fmtid="{D5CDD505-2E9C-101B-9397-08002B2CF9AE}" pid="3" name="MediaServiceImageTags">
    <vt:lpwstr/>
  </property>
</Properties>
</file>